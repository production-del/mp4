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X NUTS" sheetId="1" r:id="rId5"/>
    <sheet state="visible" name="Cacao x" sheetId="2" r:id="rId6"/>
    <sheet state="visible" name="Eros" sheetId="3" r:id="rId7"/>
    <sheet state="visible" name="Birchia" sheetId="4" r:id="rId8"/>
    <sheet state="visible" name="Golden " sheetId="5" r:id="rId9"/>
    <sheet state="visible" name="Intermediate Golden spice" sheetId="6" r:id="rId10"/>
    <sheet state="visible" name="Yummy Beans" sheetId="7" r:id="rId11"/>
    <sheet state="visible" name="KOMBUCHA" sheetId="8" r:id="rId12"/>
    <sheet state="visible" name="red coconut" sheetId="9" r:id="rId13"/>
    <sheet state="visible" name="Korean" sheetId="10" r:id="rId14"/>
    <sheet state="visible" name="Maple B GRADE" sheetId="11" r:id="rId15"/>
    <sheet state="visible" name="Choc Rasp Cookies" sheetId="12" r:id="rId16"/>
    <sheet state="visible" name="cookies 5kg" sheetId="13" r:id="rId17"/>
    <sheet state="visible" name="MAPLE" sheetId="14" r:id="rId18"/>
    <sheet state="visible" name="Teriyaki" sheetId="15" r:id="rId19"/>
    <sheet state="visible" name="Teriyaki 2" sheetId="16" r:id="rId20"/>
    <sheet state="visible" name="Chocolate Cluster" sheetId="17" r:id="rId21"/>
    <sheet state="visible" name="Choc cluster coconut" sheetId="18" r:id="rId22"/>
    <sheet state="visible" name="Caramel cluster" sheetId="19" r:id="rId23"/>
    <sheet state="visible" name="Seed mix" sheetId="20" r:id="rId24"/>
    <sheet state="visible" name="DMTea" sheetId="21" r:id="rId25"/>
    <sheet state="visible" name="DMTea new zs" sheetId="22" r:id="rId26"/>
    <sheet state="visible" name="  Chillax" sheetId="23" r:id="rId27"/>
    <sheet state="visible" name="Chillax new zs" sheetId="24" r:id="rId28"/>
    <sheet state="visible" name="Immunitea " sheetId="25" r:id="rId29"/>
    <sheet state="visible" name="Immunitea new zs" sheetId="26" r:id="rId30"/>
    <sheet state="visible" name="Tummy tea" sheetId="27" r:id="rId31"/>
    <sheet state="visible" name="Tummy tea new zs" sheetId="28" r:id="rId32"/>
    <sheet state="visible" name="Firestarter" sheetId="29" r:id="rId33"/>
    <sheet state="visible" name="Firestarter new zs" sheetId="30" r:id="rId34"/>
    <sheet state="visible" name="Green stardust" sheetId="31" r:id="rId35"/>
    <sheet state="visible" name="ISG new zs" sheetId="32" r:id="rId36"/>
    <sheet state="visible" name="Brown stardust" sheetId="33" r:id="rId37"/>
    <sheet state="visible" name="ISBR new zs" sheetId="34" r:id="rId38"/>
    <sheet state="visible" name="Red stardust" sheetId="35" r:id="rId39"/>
    <sheet state="visible" name="ISR new zs" sheetId="36" r:id="rId40"/>
    <sheet state="visible" name="Yellow stardust" sheetId="37" r:id="rId41"/>
    <sheet state="visible" name="ISY new zs" sheetId="38" r:id="rId42"/>
    <sheet state="visible" name="Protein Chocolate" sheetId="39" r:id="rId43"/>
    <sheet state="visible" name="ISPCH new zs" sheetId="40" r:id="rId44"/>
    <sheet state="visible" name="Protein Caramel" sheetId="41" r:id="rId45"/>
    <sheet state="visible" name="Protein Original" sheetId="42" r:id="rId46"/>
    <sheet state="visible" name="ISPO new zs" sheetId="43" r:id="rId4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batch 3</t>
      </text>
    </comment>
    <comment authorId="0" ref="Q4">
      <text>
        <t xml:space="preserve">batch 3</t>
      </text>
    </comment>
    <comment authorId="0" ref="A14">
      <text>
        <t xml:space="preserve">CONSIDER ALTERNATIVE SWEETENER..?</t>
      </text>
    </comment>
    <comment authorId="0" ref="A15">
      <text>
        <t xml:space="preserve">melted, &amp; cooled</t>
      </text>
    </comment>
    <comment authorId="0" ref="L15">
      <text>
        <t xml:space="preserve">CONSIDER ALTERNATIVE SWEETENER..?</t>
      </text>
    </comment>
    <comment authorId="0" ref="L16">
      <text>
        <t xml:space="preserve">melted, &amp; cooled</t>
      </text>
    </comment>
  </commentList>
</comments>
</file>

<file path=xl/sharedStrings.xml><?xml version="1.0" encoding="utf-8"?>
<sst xmlns="http://schemas.openxmlformats.org/spreadsheetml/2006/main" count="1755" uniqueCount="661">
  <si>
    <t>Mixed Nuts = 400kg</t>
  </si>
  <si>
    <t>IAM</t>
  </si>
  <si>
    <t>Date:</t>
  </si>
  <si>
    <t>What</t>
  </si>
  <si>
    <t>Who</t>
  </si>
  <si>
    <t>Start</t>
  </si>
  <si>
    <t>Stop</t>
  </si>
  <si>
    <t>Weighing</t>
  </si>
  <si>
    <t>Dry Ingredients</t>
  </si>
  <si>
    <t>Mixing</t>
  </si>
  <si>
    <t>In silver basin</t>
  </si>
  <si>
    <t>Bucketing</t>
  </si>
  <si>
    <t>Bucket into 20ltr buckets</t>
  </si>
  <si>
    <r>
      <rPr>
        <rFont val="Calibri"/>
        <color theme="1"/>
        <sz val="11.0"/>
        <u/>
      </rPr>
      <t>In a large tub, weigh the following ingredients and place in basin to mix.</t>
    </r>
    <r>
      <rPr>
        <rFont val="Calibri"/>
        <b/>
        <color theme="1"/>
        <sz val="11.0"/>
        <u/>
      </rPr>
      <t xml:space="preserve"> </t>
    </r>
  </si>
  <si>
    <t>NOTE: Doing this 4 times helps with proper mixing in the basin</t>
  </si>
  <si>
    <t>Ingredient</t>
  </si>
  <si>
    <t>KG</t>
  </si>
  <si>
    <t>Basin 1</t>
  </si>
  <si>
    <t>Basin 2</t>
  </si>
  <si>
    <t>Basin 3</t>
  </si>
  <si>
    <t>Basin 4</t>
  </si>
  <si>
    <t>Cashews Int</t>
  </si>
  <si>
    <t>Macadamias</t>
  </si>
  <si>
    <t>Brazil nuts Int.</t>
  </si>
  <si>
    <t>Pecans Int.</t>
  </si>
  <si>
    <t>Walnuts Int.</t>
  </si>
  <si>
    <t>Almonds B Int.</t>
  </si>
  <si>
    <t>Total 100kg</t>
  </si>
  <si>
    <r>
      <rPr>
        <rFont val="Calibri"/>
        <color theme="1"/>
        <sz val="11.0"/>
      </rPr>
      <t>Mix all dry ingredients with hands</t>
    </r>
    <r>
      <rPr>
        <rFont val="Calibri"/>
        <b/>
        <color theme="1"/>
        <sz val="11.0"/>
      </rPr>
      <t xml:space="preserve"> (wearing gloves)</t>
    </r>
    <r>
      <rPr>
        <rFont val="Calibri"/>
        <color theme="1"/>
        <sz val="11.0"/>
      </rPr>
      <t xml:space="preserve"> untill all product is mixed well and even. </t>
    </r>
  </si>
  <si>
    <t>Once all ingredients are mixed well, fill 20ltr white buckets and place lid ontop</t>
  </si>
  <si>
    <t>Date the lid with the date of manufacturing</t>
  </si>
  <si>
    <t>Cacao Recipe = 180kg</t>
  </si>
  <si>
    <t>IGC</t>
  </si>
  <si>
    <t>Assembly</t>
  </si>
  <si>
    <t>Wet ingredients</t>
  </si>
  <si>
    <t>Mix</t>
  </si>
  <si>
    <t>Cooking</t>
  </si>
  <si>
    <t>Sweetner</t>
  </si>
  <si>
    <t>Cooking in oven</t>
  </si>
  <si>
    <t>Laying on oven trays</t>
  </si>
  <si>
    <r>
      <rPr>
        <rFont val="Calibri, Arial"/>
        <color rgb="FF000000"/>
        <sz val="11.0"/>
      </rPr>
      <t xml:space="preserve">Includes </t>
    </r>
    <r>
      <rPr>
        <rFont val="Calibri, Arial"/>
        <b/>
        <color rgb="FF000000"/>
        <sz val="11.0"/>
      </rPr>
      <t>dusting</t>
    </r>
    <r>
      <rPr>
        <rFont val="Calibri, Arial"/>
        <color rgb="FF000000"/>
        <sz val="11.0"/>
      </rPr>
      <t xml:space="preserve"> ingredients after cooking process</t>
    </r>
  </si>
  <si>
    <t>Bucketing with Silica</t>
  </si>
  <si>
    <r>
      <rPr>
        <rFont val="Calibri, Arial"/>
        <b val="0"/>
        <color theme="1"/>
        <sz val="16.0"/>
      </rPr>
      <t>Prepare</t>
    </r>
    <r>
      <rPr>
        <rFont val="Calibri, Arial"/>
        <b/>
        <color theme="1"/>
        <sz val="16.0"/>
      </rPr>
      <t xml:space="preserve"> 4 tubs</t>
    </r>
    <r>
      <rPr>
        <rFont val="Calibri, Arial"/>
        <b val="0"/>
        <color theme="1"/>
        <sz val="16.0"/>
      </rPr>
      <t xml:space="preserve"> on kitchen scales (2- Clustered, 2- Unclustered), add into each and </t>
    </r>
    <r>
      <rPr>
        <rFont val="Calibri, Arial"/>
        <b/>
        <color theme="1"/>
        <sz val="16.0"/>
      </rPr>
      <t xml:space="preserve">mix </t>
    </r>
    <r>
      <rPr>
        <rFont val="Calibri, Arial"/>
        <b val="0"/>
        <color theme="1"/>
        <sz val="16.0"/>
      </rPr>
      <t xml:space="preserve">the following </t>
    </r>
  </si>
  <si>
    <t>CLUSTERED</t>
  </si>
  <si>
    <t>UNCLUSTERED</t>
  </si>
  <si>
    <t>Coconut chips</t>
  </si>
  <si>
    <t>Cacao Powder</t>
  </si>
  <si>
    <t>Ginger  powder</t>
  </si>
  <si>
    <t>Cinnamon  powder</t>
  </si>
  <si>
    <t>MIx ingredients well until the coconut chips are covered all over (no white bits of the coconut to be seen)</t>
  </si>
  <si>
    <r>
      <rPr>
        <rFont val="Calibri"/>
        <color theme="1"/>
        <sz val="11.0"/>
      </rPr>
      <t xml:space="preserve">Add to </t>
    </r>
    <r>
      <rPr>
        <rFont val="Calibri"/>
        <b/>
        <color theme="1"/>
        <sz val="11.0"/>
      </rPr>
      <t>tubs</t>
    </r>
  </si>
  <si>
    <t xml:space="preserve">CLUSTERED </t>
  </si>
  <si>
    <t xml:space="preserve">UNCLUSTERED </t>
  </si>
  <si>
    <t>Raw Pepita</t>
  </si>
  <si>
    <t>Activated Sunflower</t>
  </si>
  <si>
    <t>Cacao Nibs</t>
  </si>
  <si>
    <t>-</t>
  </si>
  <si>
    <t>Tulsi</t>
  </si>
  <si>
    <t>Gotu Kola</t>
  </si>
  <si>
    <t>Brahmi</t>
  </si>
  <si>
    <t>Activated Buckwheat</t>
  </si>
  <si>
    <t xml:space="preserve">Tip contents of Clustered tubs into seperate stainless basins and follow the proceding steps </t>
  </si>
  <si>
    <t>Add into 2 silver cooking pots -</t>
  </si>
  <si>
    <t>Pot 1</t>
  </si>
  <si>
    <t>Pot 2</t>
  </si>
  <si>
    <t>Honey</t>
  </si>
  <si>
    <t>Vanilla essence</t>
  </si>
  <si>
    <t>1. HEAT for 7 mins at 3000, ( until it bubbles)</t>
  </si>
  <si>
    <t>2. Tip clustered tubs into 2 silver basins and mix</t>
  </si>
  <si>
    <t>3. Mix Honey into each clustered basins  THOROUGHLY</t>
  </si>
  <si>
    <t>3. Scoop Clustered batch with a 5LTR measuring jug onto oven trays, spread evenly</t>
  </si>
  <si>
    <t xml:space="preserve">4. Cook in oven on 140*C for 30 minutes at %60 fan function, repeat process until all Clustered batch is cooked </t>
  </si>
  <si>
    <t xml:space="preserve">5. Set up 4 tubs on kitchen scales, divide cooked Clustered batch evenly into 4 tubs </t>
  </si>
  <si>
    <t xml:space="preserve">6. Tip contents of Unclustered tubs into seperate stainless basins to mix the following </t>
  </si>
  <si>
    <t>Add into 4 silver cooking pots -</t>
  </si>
  <si>
    <t>Pot 3</t>
  </si>
  <si>
    <t>Pot 4</t>
  </si>
  <si>
    <t>Coconut Oil</t>
  </si>
  <si>
    <t>x</t>
  </si>
  <si>
    <t>1. HEAT Honey for 4 mins at 3000W ( until honey bubbles for 10 secs)</t>
  </si>
  <si>
    <t>2. HEAT Coconut oil for approx 10 mins at 400W (until liquid)</t>
  </si>
  <si>
    <t xml:space="preserve">3. Mix both honey and coconut oil into unclustered tub THOROUGHLY </t>
  </si>
  <si>
    <t>4. Scoop Unclustered batch with a 3.5LTR measuring jug onto oven trays evenly</t>
  </si>
  <si>
    <t>5. Cook in oven on 135*C for 30 minutes, %60 fan function, repeat process until all Unclustered batch is cooked</t>
  </si>
  <si>
    <t>6. Divide Unclustered batch evenly into the 4 tubs of the clustered batch</t>
  </si>
  <si>
    <r>
      <rPr>
        <rFont val="Calibri, Arial"/>
        <b/>
        <color theme="1"/>
        <sz val="14.0"/>
      </rPr>
      <t xml:space="preserve">Dusting -  ADD </t>
    </r>
    <r>
      <rPr>
        <rFont val="Calibri, Arial"/>
        <b val="0"/>
        <color theme="1"/>
        <sz val="14.0"/>
      </rPr>
      <t>below ingredients into each tub</t>
    </r>
  </si>
  <si>
    <t>Ingredients</t>
  </si>
  <si>
    <t>Tub 1</t>
  </si>
  <si>
    <t xml:space="preserve">Tub 2 </t>
  </si>
  <si>
    <t>Tub 3</t>
  </si>
  <si>
    <t>Tub 4</t>
  </si>
  <si>
    <t>Maca</t>
  </si>
  <si>
    <t>Mesquite</t>
  </si>
  <si>
    <t xml:space="preserve">Macadamia </t>
  </si>
  <si>
    <t>Int. Pecans</t>
  </si>
  <si>
    <t>Int. Almonds  B grade</t>
  </si>
  <si>
    <t>MIX well, then using a large scoop, fill approx 17 buckets (Silica on the top of bucket), place lid on tightly, write product and date on bucket lid</t>
  </si>
  <si>
    <t>EROS = 150KG</t>
  </si>
  <si>
    <t>make this to be 225 kg with Hammo</t>
  </si>
  <si>
    <t>IGE</t>
  </si>
  <si>
    <t>blending spices</t>
  </si>
  <si>
    <r>
      <rPr>
        <rFont val="Calibri, Arial"/>
        <color rgb="FF000000"/>
        <sz val="11.0"/>
      </rPr>
      <t xml:space="preserve">Includes </t>
    </r>
    <r>
      <rPr>
        <rFont val="Calibri, Arial"/>
        <b/>
        <color rgb="FF000000"/>
        <sz val="11.0"/>
      </rPr>
      <t>dusting</t>
    </r>
    <r>
      <rPr>
        <rFont val="Calibri, Arial"/>
        <color rgb="FF000000"/>
        <sz val="11.0"/>
      </rPr>
      <t xml:space="preserve"> ingredients after cooking process</t>
    </r>
  </si>
  <si>
    <r>
      <rPr>
        <rFont val="Calibri, Arial"/>
        <color theme="1"/>
        <sz val="16.0"/>
      </rPr>
      <t xml:space="preserve">Get 4 tubs (2-Clustered, 2-Unclustered), </t>
    </r>
    <r>
      <rPr>
        <rFont val="Calibri, Arial"/>
        <b/>
        <color theme="1"/>
        <sz val="16.0"/>
      </rPr>
      <t>ADD</t>
    </r>
    <r>
      <rPr>
        <rFont val="Calibri, Arial"/>
        <color theme="1"/>
        <sz val="16.0"/>
      </rPr>
      <t xml:space="preserve"> below ingredients into each tub</t>
    </r>
  </si>
  <si>
    <t>INGREDIENTS</t>
  </si>
  <si>
    <t>Clustered</t>
  </si>
  <si>
    <t>Unclustered</t>
  </si>
  <si>
    <t>Red coconut IRC</t>
  </si>
  <si>
    <t>Act. Buckwheat</t>
  </si>
  <si>
    <t>Puffed Buckwheat</t>
  </si>
  <si>
    <t>Ginger powder</t>
  </si>
  <si>
    <t>Cinnamon powder</t>
  </si>
  <si>
    <t xml:space="preserve">Add the following into both CLUSTERED tubs </t>
  </si>
  <si>
    <t>Linseed</t>
  </si>
  <si>
    <t>Ginkgo leaf</t>
  </si>
  <si>
    <t>Add to 4 seperate silver cooking pots -</t>
  </si>
  <si>
    <t>Cacao Butter</t>
  </si>
  <si>
    <t>Rice Malt</t>
  </si>
  <si>
    <t>Vanilla</t>
  </si>
  <si>
    <t>1. Heat cacao butter at 400 WATTS till liquid. approx 15 mins</t>
  </si>
  <si>
    <t>2. Heat rice malt at 3000W for 7 mins till bubbling (approx 10 secs bubbling)</t>
  </si>
  <si>
    <t>4. Tip CLUSTERED tubs into 2 silver basins and mix</t>
  </si>
  <si>
    <t>5. Mix both rice malt and cacao butter into each clustered basins THOROUGHLY</t>
  </si>
  <si>
    <t>6. Scoop Clustered batch with a 5LTR measuring jug onto oven trays evenly</t>
  </si>
  <si>
    <t>7. Cook in oven on 135*C for 25 minutes, %60 fan funciton, repeat until all Clustered batch is cooked</t>
  </si>
  <si>
    <t xml:space="preserve">8. Set up 4 tubs , divide cooked Clustered batch evenly into each tub </t>
  </si>
  <si>
    <t xml:space="preserve">1. Heat Cacao butter at 400 WATTS for. approx 15mins </t>
  </si>
  <si>
    <t>2. Cook rice malt for 5 mins @ 3000 watts</t>
  </si>
  <si>
    <t>3. Tip UNCLUSTERED tub into silver basin and mix</t>
  </si>
  <si>
    <t>4. Mix both pots of Sweetner into unclustered tub THOROUGHLY</t>
  </si>
  <si>
    <t>5. Scoop Unclustered batch with a 3.5LTR measuring jug onto oven trays evenly</t>
  </si>
  <si>
    <t>6. Cook in oven on 130*C for 25 minutes, % 60 fan function repeat until all Unclustered batch is cooked</t>
  </si>
  <si>
    <t>7. Divide Unclustered batch evenly into the 4 tubs of the Clustered batch</t>
  </si>
  <si>
    <r>
      <rPr>
        <rFont val="Calibri, Arial"/>
        <b/>
        <color theme="1"/>
        <sz val="14.0"/>
      </rPr>
      <t xml:space="preserve">Dusting -  ADD </t>
    </r>
    <r>
      <rPr>
        <rFont val="Calibri, Arial"/>
        <b val="0"/>
        <color theme="1"/>
        <sz val="14.0"/>
      </rPr>
      <t xml:space="preserve">below ingredients into </t>
    </r>
    <r>
      <rPr>
        <rFont val="Calibri, Arial"/>
        <b/>
        <color theme="1"/>
        <sz val="14.0"/>
      </rPr>
      <t>each</t>
    </r>
    <r>
      <rPr>
        <rFont val="Calibri, Arial"/>
        <b val="0"/>
        <color theme="1"/>
        <sz val="14.0"/>
      </rPr>
      <t xml:space="preserve"> tub</t>
    </r>
  </si>
  <si>
    <t>Tub 2</t>
  </si>
  <si>
    <t>Puff Buckwheat</t>
  </si>
  <si>
    <t>Rose Petals</t>
  </si>
  <si>
    <t>Cranberries</t>
  </si>
  <si>
    <t xml:space="preserve">Maca </t>
  </si>
  <si>
    <t>Pomegranate</t>
  </si>
  <si>
    <r>
      <rPr>
        <rFont val="Calibri, Arial"/>
        <b/>
        <color theme="1"/>
        <sz val="11.0"/>
      </rPr>
      <t xml:space="preserve">MIX </t>
    </r>
    <r>
      <rPr>
        <rFont val="Calibri, Arial"/>
        <b/>
        <color theme="1"/>
        <sz val="11.0"/>
      </rPr>
      <t>well, then using a scoop, fill buckets (Silica at the top of the product), place lid on tightly, write product and date on bucket lid</t>
    </r>
  </si>
  <si>
    <t>Birchia 170kg</t>
  </si>
  <si>
    <t>IGB</t>
  </si>
  <si>
    <t>Lightly bake @ 145*C for 25mins</t>
  </si>
  <si>
    <t>%30 fan function</t>
  </si>
  <si>
    <r>
      <rPr>
        <rFont val="Calibri, Arial"/>
        <color rgb="FF000000"/>
        <sz val="11.0"/>
      </rPr>
      <t xml:space="preserve">Includes </t>
    </r>
    <r>
      <rPr>
        <rFont val="Calibri, Arial"/>
        <b/>
        <color rgb="FF000000"/>
        <sz val="11.0"/>
      </rPr>
      <t>dusting</t>
    </r>
    <r>
      <rPr>
        <rFont val="Calibri, Arial"/>
        <color rgb="FF000000"/>
        <sz val="11.0"/>
      </rPr>
      <t xml:space="preserve"> ingredients after cooking process</t>
    </r>
  </si>
  <si>
    <t>Combine below ingredients together into 2 basins</t>
  </si>
  <si>
    <t>Coconut Chips</t>
  </si>
  <si>
    <t xml:space="preserve">Quinoa Flakes </t>
  </si>
  <si>
    <t>1. Lay on oven trays with a 3Ltr measuring jug</t>
  </si>
  <si>
    <t>2. Cook in oven for 25 minutes @ 145*C , %30 fan function</t>
  </si>
  <si>
    <t>Divide cooked ingredients into 4 tubs and add the following into each tub</t>
  </si>
  <si>
    <t xml:space="preserve">Linseed  </t>
  </si>
  <si>
    <t xml:space="preserve">Pepita  </t>
  </si>
  <si>
    <t>Int. Almond B grade</t>
  </si>
  <si>
    <t xml:space="preserve">Int. Pecans  </t>
  </si>
  <si>
    <t>Int. Buckwheat</t>
  </si>
  <si>
    <t>Chia seed</t>
  </si>
  <si>
    <r>
      <rPr>
        <rFont val="Calibri, Arial"/>
        <b/>
        <color theme="1"/>
        <sz val="12.0"/>
      </rPr>
      <t xml:space="preserve">Dusting -  ADD </t>
    </r>
    <r>
      <rPr>
        <rFont val="Calibri, Arial"/>
        <b val="0"/>
        <color theme="1"/>
        <sz val="12.0"/>
      </rPr>
      <t>below ingredients into each tub</t>
    </r>
  </si>
  <si>
    <t>Cinnamon</t>
  </si>
  <si>
    <t>Ginger</t>
  </si>
  <si>
    <t>MIX well, then using large scoop, fill 16-17 buckets (Silica on the top of bucket), place lid on tightly, write product and date on bucket lid</t>
  </si>
  <si>
    <t xml:space="preserve">Golden Recipe = 160kg </t>
  </si>
  <si>
    <t>Dusting/Bucketing</t>
  </si>
  <si>
    <r>
      <rPr>
        <rFont val="Calibri, Arial"/>
        <b val="0"/>
        <color theme="1"/>
        <sz val="16.0"/>
      </rPr>
      <t xml:space="preserve">Prepare </t>
    </r>
    <r>
      <rPr>
        <rFont val="Calibri, Arial"/>
        <b/>
        <color theme="1"/>
        <sz val="16.0"/>
      </rPr>
      <t>4</t>
    </r>
    <r>
      <rPr>
        <rFont val="Calibri, Arial"/>
        <b val="0"/>
        <color theme="1"/>
        <sz val="16.0"/>
      </rPr>
      <t xml:space="preserve"> tubs on kitchen scales (2- Clustered, 2- Unclustered), in each, add</t>
    </r>
    <r>
      <rPr>
        <rFont val="Calibri, Arial"/>
        <b/>
        <color theme="1"/>
        <sz val="16.0"/>
      </rPr>
      <t xml:space="preserve"> </t>
    </r>
    <r>
      <rPr>
        <rFont val="Calibri, Arial"/>
        <b val="0"/>
        <color theme="1"/>
        <sz val="16.0"/>
      </rPr>
      <t xml:space="preserve">the following </t>
    </r>
  </si>
  <si>
    <t>coconut chips</t>
  </si>
  <si>
    <t>Turmeric powder</t>
  </si>
  <si>
    <t>MIx ingredients well until coconut chips are covered all over (no white bits of the coconut to be seen)</t>
  </si>
  <si>
    <t>Add to each tub</t>
  </si>
  <si>
    <t>Oats</t>
  </si>
  <si>
    <t>Int. Sunflower</t>
  </si>
  <si>
    <t>Raw Pepitas</t>
  </si>
  <si>
    <t>Int. Golden spice mix</t>
  </si>
  <si>
    <t>Nigella</t>
  </si>
  <si>
    <t>X</t>
  </si>
  <si>
    <t>safflower</t>
  </si>
  <si>
    <r>
      <rPr>
        <rFont val="Calibri, Arial"/>
        <b val="0"/>
        <color theme="1"/>
        <sz val="11.0"/>
      </rPr>
      <t>Add into</t>
    </r>
    <r>
      <rPr>
        <rFont val="Calibri, Arial"/>
        <b/>
        <color theme="1"/>
        <sz val="11.0"/>
      </rPr>
      <t xml:space="preserve"> 2 </t>
    </r>
    <r>
      <rPr>
        <rFont val="Calibri, Arial"/>
        <b val="0"/>
        <color theme="1"/>
        <sz val="11.0"/>
      </rPr>
      <t>silver cooking pots</t>
    </r>
    <r>
      <rPr>
        <rFont val="Calibri, Arial"/>
        <b/>
        <color theme="1"/>
        <sz val="11.0"/>
      </rPr>
      <t xml:space="preserve"> -</t>
    </r>
  </si>
  <si>
    <t xml:space="preserve">1. Cook Rice malt at 3000 WATTS for 7 mins ( till boiling for 10 secs) </t>
  </si>
  <si>
    <t>2. Tip both clustered tubs into 2 large silver basins and mix</t>
  </si>
  <si>
    <t>3. Mix both cooked rice malt pots into clustered basins THOROUGHLY</t>
  </si>
  <si>
    <t>4. Scoop Clustered batch with a 5LTR measuring jug, spread onto oven trays evenly</t>
  </si>
  <si>
    <t>5. Cook in oven on 140*C for 30 minutes, %60 fan function, repeat until all Clustered batch is cooked</t>
  </si>
  <si>
    <t xml:space="preserve">6. Divide cooked Clustered batch evenly into 4 tubs </t>
  </si>
  <si>
    <r>
      <rPr>
        <rFont val="Calibri"/>
        <color theme="1"/>
        <sz val="11.0"/>
      </rPr>
      <t xml:space="preserve">Add into </t>
    </r>
    <r>
      <rPr>
        <rFont val="Calibri"/>
        <b/>
        <color theme="1"/>
        <sz val="11.0"/>
      </rPr>
      <t>4</t>
    </r>
    <r>
      <rPr>
        <rFont val="Calibri"/>
        <color theme="1"/>
        <sz val="11.0"/>
      </rPr>
      <t xml:space="preserve"> silver cooking pots -</t>
    </r>
  </si>
  <si>
    <t>Coconut OIl</t>
  </si>
  <si>
    <t>1. Cook rice malt at 1800 WHATTS for 6 minutes approx. (till boiled for 10 secs)</t>
  </si>
  <si>
    <t>2. Heat coconut oil on 400 for 10 mins ( till liquid)</t>
  </si>
  <si>
    <t>3. Tip both unclustered tubs into 2 silver basins and mix</t>
  </si>
  <si>
    <t>4. Mix rice malt and coconut oil into each unclustered basins THOROUGHLY</t>
  </si>
  <si>
    <t>5. Scoop Unclustered batch with a 3.5LTR measuring jug, spread onto oven trays evenly</t>
  </si>
  <si>
    <t>6. Cook in oven on 135*C for 30 minutes, %60 fan function, repeat until all Unclustered batch is cooked</t>
  </si>
  <si>
    <t>7. Divide Unclustered batch evenly into the 4 tubs of the clustered batch</t>
  </si>
  <si>
    <r>
      <rPr>
        <rFont val="Calibri, Arial"/>
        <b/>
        <color theme="1"/>
        <sz val="14.0"/>
      </rPr>
      <t xml:space="preserve">Dusting -  ADD </t>
    </r>
    <r>
      <rPr>
        <rFont val="Calibri, Arial"/>
        <b val="0"/>
        <color theme="1"/>
        <sz val="14.0"/>
      </rPr>
      <t>below ingredients into each tub</t>
    </r>
  </si>
  <si>
    <t>Int. Almonds B grade</t>
  </si>
  <si>
    <t>Lemon Powder</t>
  </si>
  <si>
    <t>Lemon Myrtle</t>
  </si>
  <si>
    <t>MIX well, then using large scoop, fill 17 buckets (Silica on the top of bucket), place lid on tightly, write product and date on bucket lid</t>
  </si>
  <si>
    <t>Golden Spices = 3.5kg</t>
  </si>
  <si>
    <t>Using Tabletop (kitchen) blender, blend the following ingredients</t>
  </si>
  <si>
    <t>Blender</t>
  </si>
  <si>
    <t>Cardamom Pods</t>
  </si>
  <si>
    <t>Cloves</t>
  </si>
  <si>
    <t>Star Anise pieces</t>
  </si>
  <si>
    <t>Pepper Powder</t>
  </si>
  <si>
    <t>Nutmeg Chips</t>
  </si>
  <si>
    <t>Once all is blended Keep in a bucket for when its needed for Golden Granola, label with SKU and date on the lid of the bucket</t>
  </si>
  <si>
    <t xml:space="preserve"> </t>
  </si>
  <si>
    <t xml:space="preserve">1. Process 4kg of Shiitaki Mushrooms in the food processor until small chips. </t>
  </si>
  <si>
    <t>Add below ingredients into 2 basins</t>
  </si>
  <si>
    <t>Shitaake mushrooms chips</t>
  </si>
  <si>
    <t>Olive oil</t>
  </si>
  <si>
    <t xml:space="preserve">2. Mix both ingredients well </t>
  </si>
  <si>
    <t>Add below ingredients into both silver basins</t>
  </si>
  <si>
    <t>Sesame Seeds ORGANIC</t>
  </si>
  <si>
    <t>Pepitas (raw)</t>
  </si>
  <si>
    <t>Int. Sunflower seeds</t>
  </si>
  <si>
    <t>Int. Lentil</t>
  </si>
  <si>
    <t>Mild Curry Powder</t>
  </si>
  <si>
    <t>Amchur</t>
  </si>
  <si>
    <t>Tomato Powder</t>
  </si>
  <si>
    <t>Nigella Seed Organic</t>
  </si>
  <si>
    <t>Paprika Smoked</t>
  </si>
  <si>
    <t xml:space="preserve">Cooking Salt </t>
  </si>
  <si>
    <t>Rosemary</t>
  </si>
  <si>
    <t>Garlic Powder</t>
  </si>
  <si>
    <t>Nutritional Yeast</t>
  </si>
  <si>
    <t>Finely ground  Black pepper</t>
  </si>
  <si>
    <t>3. Mix all ingredients in silver basins with green kitchen gloves on until well mixed</t>
  </si>
  <si>
    <t>Use a 3ltr measuring jug to scoop and lay onto oven trays</t>
  </si>
  <si>
    <t xml:space="preserve">cook at 135* for 25 mins intervals </t>
  </si>
  <si>
    <r>
      <rPr>
        <rFont val="Calibri"/>
        <color theme="1"/>
        <sz val="11.0"/>
      </rPr>
      <t xml:space="preserve">once the timer goes off with first batch, cool infront of fan for 15 minutes then split product into </t>
    </r>
    <r>
      <rPr>
        <rFont val="Calibri"/>
        <b/>
        <color theme="1"/>
        <sz val="11.0"/>
      </rPr>
      <t>4</t>
    </r>
    <r>
      <rPr>
        <rFont val="Calibri"/>
        <color theme="1"/>
        <sz val="11.0"/>
      </rPr>
      <t xml:space="preserve"> black tubs equally</t>
    </r>
  </si>
  <si>
    <t xml:space="preserve">repeat untill all product is cooked </t>
  </si>
  <si>
    <r>
      <rPr>
        <rFont val="Calibri"/>
        <color theme="1"/>
        <sz val="11.0"/>
      </rPr>
      <t xml:space="preserve">Once all the cooked product is in the black tubs, add the following to </t>
    </r>
    <r>
      <rPr>
        <rFont val="Calibri"/>
        <b/>
        <color theme="1"/>
        <sz val="11.0"/>
      </rPr>
      <t>EACH</t>
    </r>
    <r>
      <rPr>
        <rFont val="Calibri"/>
        <color theme="1"/>
        <sz val="11.0"/>
      </rPr>
      <t xml:space="preserve"> tub</t>
    </r>
  </si>
  <si>
    <t>Each tub</t>
  </si>
  <si>
    <t>Mix tubs well</t>
  </si>
  <si>
    <t>Bucket into 20ltr buckets with designated silicas ontop of the product, lid and date the buckets</t>
  </si>
  <si>
    <t>KOMBUCHA</t>
  </si>
  <si>
    <t>PER BATCH</t>
  </si>
  <si>
    <t>HONEY</t>
  </si>
  <si>
    <t>TEA</t>
  </si>
  <si>
    <t>WATER</t>
  </si>
  <si>
    <t>Red Coconut = 64kg</t>
  </si>
  <si>
    <t>IRC</t>
  </si>
  <si>
    <t>-Dry Ingredients</t>
  </si>
  <si>
    <t>-paint stirer procedure</t>
  </si>
  <si>
    <t>-Laying</t>
  </si>
  <si>
    <t>-Dehydrator</t>
  </si>
  <si>
    <t>-60*C</t>
  </si>
  <si>
    <t>-Overnight</t>
  </si>
  <si>
    <r>
      <rPr>
        <rFont val="Calibri, Arial"/>
        <color rgb="FF000000"/>
        <sz val="11.0"/>
      </rPr>
      <t xml:space="preserve">-Includes </t>
    </r>
    <r>
      <rPr>
        <rFont val="Calibri, Arial"/>
        <b/>
        <color rgb="FF000000"/>
        <sz val="11.0"/>
      </rPr>
      <t>dusting</t>
    </r>
    <r>
      <rPr>
        <rFont val="Calibri, Arial"/>
        <color rgb="FF000000"/>
        <sz val="11.0"/>
      </rPr>
      <t xml:space="preserve"> ingredients after cooking process </t>
    </r>
  </si>
  <si>
    <t>-Bucketing</t>
  </si>
  <si>
    <r>
      <rPr>
        <rFont val="Calibri"/>
        <color theme="1"/>
        <sz val="11.0"/>
      </rPr>
      <t xml:space="preserve">In  </t>
    </r>
    <r>
      <rPr>
        <rFont val="Calibri"/>
        <b/>
        <color theme="1"/>
        <sz val="11.0"/>
      </rPr>
      <t>larger</t>
    </r>
    <r>
      <rPr>
        <rFont val="Calibri"/>
        <color theme="1"/>
        <sz val="11.0"/>
      </rPr>
      <t xml:space="preserve"> silver basin add the following</t>
    </r>
  </si>
  <si>
    <t xml:space="preserve">Large Basin </t>
  </si>
  <si>
    <t xml:space="preserve">Combine below ingredients into a large blue tub and mix well with paint stirer </t>
  </si>
  <si>
    <t>Water</t>
  </si>
  <si>
    <t>Beetroot powder</t>
  </si>
  <si>
    <t>Pour wet mixture into basin with coconut chips, MIx well until the coconut chips are red all over (no white bits of the coconut to be seen)</t>
  </si>
  <si>
    <t>Scoop Red Coconut Chips with 3Ltr measuring jug, lay onto deydrating trays , leaving an edge of 2inches around the tray, place trays in the deydrating trollies. This will occupy ONE entire trolley</t>
  </si>
  <si>
    <t>Dehydrate on 60*C overnight ready for Eros Recipe the following day</t>
  </si>
  <si>
    <t>Remove trollies from Deydrator, Prepare two tubs on kitchen scales, empty Red Coconut Chips evenly into each tub (weighing approx 28.5Kg each) , set aside for Eros Recipe completion</t>
  </si>
  <si>
    <t>Korean 300kg</t>
  </si>
  <si>
    <t>Soaking</t>
  </si>
  <si>
    <t>Sauce Procedure Step 1</t>
  </si>
  <si>
    <t>Blending with Paint stirer</t>
  </si>
  <si>
    <t>Sauce Procedure - STEP 2</t>
  </si>
  <si>
    <t>Adding to Rice Malt</t>
  </si>
  <si>
    <t>Silver Basin ingredients</t>
  </si>
  <si>
    <t>Sauce Mixture</t>
  </si>
  <si>
    <t>Laying</t>
  </si>
  <si>
    <t>Dehydrating</t>
  </si>
  <si>
    <t>Soak the night before, (12 HOUR SOAK, drain in the morning)</t>
  </si>
  <si>
    <t>Almonds Raw (B grade)</t>
  </si>
  <si>
    <t>Salt</t>
  </si>
  <si>
    <t>Biotics</t>
  </si>
  <si>
    <t>Walnuts Raw</t>
  </si>
  <si>
    <r>
      <rPr>
        <rFont val="Calibri, Arial"/>
        <color theme="1"/>
        <sz val="11.0"/>
      </rPr>
      <t xml:space="preserve">Sauce Procedure - </t>
    </r>
    <r>
      <rPr>
        <rFont val="Calibri, Arial"/>
        <b/>
        <color theme="1"/>
        <sz val="11.0"/>
      </rPr>
      <t>STEP 1</t>
    </r>
  </si>
  <si>
    <t xml:space="preserve">HOW TO MAKE MISO PASTE </t>
  </si>
  <si>
    <t>MIx the following in 20ltr bucket 0.84kg miso powder with 1.5kg water with the paint stirrer to make a miso paste (do this 4 times for each bucket)</t>
  </si>
  <si>
    <t>Add to 4 x 20Ltr  buckets the following..</t>
  </si>
  <si>
    <t>Bucket 1</t>
  </si>
  <si>
    <t>Bucket 2</t>
  </si>
  <si>
    <t>Bucket 3</t>
  </si>
  <si>
    <t>Bucket 4</t>
  </si>
  <si>
    <t>Garlic powder</t>
  </si>
  <si>
    <t xml:space="preserve">MIso paste </t>
  </si>
  <si>
    <t>1. Blend well with paint stirer, then add the following ingredients to each bucket</t>
  </si>
  <si>
    <t>Tamari</t>
  </si>
  <si>
    <t xml:space="preserve">Gochugaru </t>
  </si>
  <si>
    <t>Hot Water</t>
  </si>
  <si>
    <t>2. Once all ingredients are added to 20ltr buckets, Stir with paint stirer</t>
  </si>
  <si>
    <r>
      <rPr>
        <rFont val="Calibri, Arial"/>
        <color theme="1"/>
        <sz val="11.0"/>
      </rPr>
      <t xml:space="preserve">Sauce Procedure - </t>
    </r>
    <r>
      <rPr>
        <rFont val="Calibri, Arial"/>
        <b/>
        <color theme="1"/>
        <sz val="11.0"/>
      </rPr>
      <t>STEP 2</t>
    </r>
  </si>
  <si>
    <r>
      <rPr>
        <rFont val="Calibri"/>
        <color theme="1"/>
        <sz val="11.0"/>
      </rPr>
      <t xml:space="preserve">1. Heat the following in </t>
    </r>
    <r>
      <rPr>
        <rFont val="Calibri"/>
        <b/>
        <color theme="1"/>
        <sz val="11.0"/>
      </rPr>
      <t>4</t>
    </r>
    <r>
      <rPr>
        <rFont val="Calibri"/>
        <color theme="1"/>
        <sz val="11.0"/>
      </rPr>
      <t xml:space="preserve"> large pots on 3000W  approx 10-12 mins, (untill bubbling for 10 secs)</t>
    </r>
  </si>
  <si>
    <t>2. Once rice malt is boiling,  Add prepared buckets of KBBQ sauce to each pot of boiled rice malt and stir well to combine</t>
  </si>
  <si>
    <t>3. Reduce heat to 800W, Keep simmmering for 15 mins approx till rice malt is consistenly mixed through sauce</t>
  </si>
  <si>
    <r>
      <rPr>
        <rFont val="Calibri, Arial"/>
        <color theme="1"/>
        <sz val="11.0"/>
      </rPr>
      <t xml:space="preserve">In </t>
    </r>
    <r>
      <rPr>
        <rFont val="Calibri, Arial"/>
        <b/>
        <color theme="1"/>
        <sz val="11.0"/>
      </rPr>
      <t>4</t>
    </r>
    <r>
      <rPr>
        <rFont val="Calibri, Arial"/>
        <color theme="1"/>
        <sz val="11.0"/>
      </rPr>
      <t xml:space="preserve"> large silver basins,</t>
    </r>
    <r>
      <rPr>
        <rFont val="Calibri, Arial"/>
        <b/>
        <color theme="1"/>
        <sz val="11.0"/>
      </rPr>
      <t xml:space="preserve"> </t>
    </r>
    <r>
      <rPr>
        <rFont val="Calibri, Arial"/>
        <color theme="1"/>
        <sz val="11.0"/>
      </rPr>
      <t>split the soaked almonds and walnuts equally and add the following</t>
    </r>
  </si>
  <si>
    <t>KG/Scoops</t>
  </si>
  <si>
    <t>Soaked Walnuts</t>
  </si>
  <si>
    <t>SPLIT</t>
  </si>
  <si>
    <t>Soaked Almonds</t>
  </si>
  <si>
    <t>Sesame Seed</t>
  </si>
  <si>
    <t>Act. Lentils</t>
  </si>
  <si>
    <t>Weigh out left over dust in buckets. Split evenly into basins.</t>
  </si>
  <si>
    <t>MAX HALF BUCKET OF DUST PER BATCH</t>
  </si>
  <si>
    <r>
      <rPr>
        <rFont val="Calibri, Arial"/>
        <b/>
        <color theme="1"/>
        <sz val="11.0"/>
      </rPr>
      <t xml:space="preserve">MIX </t>
    </r>
    <r>
      <rPr>
        <rFont val="Calibri, Arial"/>
        <b/>
        <color theme="1"/>
        <sz val="11.0"/>
      </rPr>
      <t>ingredients well</t>
    </r>
  </si>
  <si>
    <t>Add sauce mixture to large siver basins, Mix untill all ingredients are covered in sauce</t>
  </si>
  <si>
    <t>Lay mixed ingredients on dehydrating trays with a 3lt measuring jug as thin as possible, leaving a 2inch boarder around the edge</t>
  </si>
  <si>
    <t>Dehydrate for 48hours at 55*C</t>
  </si>
  <si>
    <t>Using a metal scoop, fill buckets (Silica on the top of bucket), place lid on tightly, write product and date on bucket lid</t>
  </si>
  <si>
    <t xml:space="preserve">Maple cinnamon B GRADE=150kg </t>
  </si>
  <si>
    <t>Sauce Procedure Step 2</t>
  </si>
  <si>
    <t>Blending with paint stirer</t>
  </si>
  <si>
    <r>
      <rPr>
        <rFont val="Calibri, Arial"/>
        <color theme="1"/>
        <sz val="11.0"/>
      </rPr>
      <t xml:space="preserve">This recipe is one batch , it will be split into </t>
    </r>
    <r>
      <rPr>
        <rFont val="Calibri, Arial"/>
        <b/>
        <color theme="1"/>
        <sz val="11.0"/>
      </rPr>
      <t>5</t>
    </r>
    <r>
      <rPr>
        <rFont val="Calibri, Arial"/>
        <color theme="1"/>
        <sz val="11.0"/>
      </rPr>
      <t xml:space="preserve"> basins</t>
    </r>
  </si>
  <si>
    <r>
      <rPr>
        <rFont val="Calibri, Arial"/>
        <b/>
        <color theme="1"/>
        <sz val="11.0"/>
      </rPr>
      <t>Soak</t>
    </r>
    <r>
      <rPr>
        <rFont val="Calibri, Arial"/>
        <b/>
        <color theme="1"/>
        <sz val="11.0"/>
      </rPr>
      <t xml:space="preserve"> the night before, (</t>
    </r>
    <r>
      <rPr>
        <rFont val="Calibri, Arial"/>
        <b/>
        <color theme="1"/>
        <sz val="11.0"/>
      </rPr>
      <t>12 HOUR SOAK</t>
    </r>
    <r>
      <rPr>
        <rFont val="Calibri, Arial"/>
        <b/>
        <color theme="1"/>
        <sz val="11.0"/>
      </rPr>
      <t>, open tap in the morning)</t>
    </r>
  </si>
  <si>
    <t>apple cider vinegar</t>
  </si>
  <si>
    <r>
      <rPr>
        <rFont val="Calibri, Arial"/>
        <b/>
        <color theme="1"/>
        <sz val="11.0"/>
      </rPr>
      <t>Soak</t>
    </r>
    <r>
      <rPr>
        <rFont val="Calibri, Arial"/>
        <b/>
        <color theme="1"/>
        <sz val="11.0"/>
      </rPr>
      <t xml:space="preserve"> the morning of, (</t>
    </r>
    <r>
      <rPr>
        <rFont val="Calibri, Arial"/>
        <b/>
        <color theme="1"/>
        <sz val="11.0"/>
      </rPr>
      <t>6 HOUR SOAK</t>
    </r>
    <r>
      <rPr>
        <rFont val="Calibri, Arial"/>
        <b/>
        <color theme="1"/>
        <sz val="11.0"/>
      </rPr>
      <t>)</t>
    </r>
  </si>
  <si>
    <t>Almonds B Raw</t>
  </si>
  <si>
    <t>Sauce Procedure - STEP 1</t>
  </si>
  <si>
    <t>Blend the following in robotcoupe (blender)</t>
  </si>
  <si>
    <t>Nut butter</t>
  </si>
  <si>
    <r>
      <rPr>
        <rFont val="Calibri, Arial"/>
        <color theme="1"/>
        <sz val="11.0"/>
      </rPr>
      <t xml:space="preserve">Sauce Procedure - </t>
    </r>
    <r>
      <rPr>
        <rFont val="Calibri, Arial"/>
        <b/>
        <color theme="1"/>
        <sz val="11.0"/>
      </rPr>
      <t>STEP 2</t>
    </r>
  </si>
  <si>
    <r>
      <rPr>
        <rFont val="Calibri"/>
        <color theme="1"/>
        <sz val="11.0"/>
      </rPr>
      <t>In</t>
    </r>
    <r>
      <rPr>
        <rFont val="Calibri"/>
        <b/>
        <color theme="1"/>
        <sz val="11.0"/>
      </rPr>
      <t xml:space="preserve"> 5</t>
    </r>
    <r>
      <rPr>
        <rFont val="Calibri"/>
        <color theme="1"/>
        <sz val="11.0"/>
      </rPr>
      <t xml:space="preserve"> large pots, cook the following at 3000 for 20minutes  till it bubbles </t>
    </r>
  </si>
  <si>
    <t>Maple Syrup</t>
  </si>
  <si>
    <t>While maple is simmering, add the following ingredients to each pot then reduce to 400W for 10 mins</t>
  </si>
  <si>
    <t>Tapioca</t>
  </si>
  <si>
    <t>Nut Butter</t>
  </si>
  <si>
    <t>Vanilla Essence</t>
  </si>
  <si>
    <t>Whisk added ingredients with paddle untill well combined then remove from heat</t>
  </si>
  <si>
    <r>
      <rPr>
        <rFont val="Calibri, Arial"/>
        <color theme="1"/>
        <sz val="11.0"/>
      </rPr>
      <t>In</t>
    </r>
    <r>
      <rPr>
        <rFont val="Calibri, Arial"/>
        <b/>
        <color theme="1"/>
        <sz val="11.0"/>
      </rPr>
      <t xml:space="preserve"> 5</t>
    </r>
    <r>
      <rPr>
        <rFont val="Calibri, Arial"/>
        <color theme="1"/>
        <sz val="11.0"/>
      </rPr>
      <t xml:space="preserve"> large silver basins,</t>
    </r>
    <r>
      <rPr>
        <rFont val="Calibri, Arial"/>
        <b/>
        <color theme="1"/>
        <sz val="11.0"/>
      </rPr>
      <t xml:space="preserve"> split</t>
    </r>
    <r>
      <rPr>
        <rFont val="Calibri, Arial"/>
        <color theme="1"/>
        <sz val="11.0"/>
      </rPr>
      <t xml:space="preserve"> the following ingredients into each basin equally using a 20L bucket</t>
    </r>
  </si>
  <si>
    <t>Each basin</t>
  </si>
  <si>
    <t>Soaked Almonds B</t>
  </si>
  <si>
    <t>1. Weigh out left over dust in buckets. Split evenly into basins.</t>
  </si>
  <si>
    <t>(MAX HALF BUCKET OF DUST PER BASIN)</t>
  </si>
  <si>
    <t>2. Add sauce mixture to each large siver basin, Mix untill all nuts are covered in sauce</t>
  </si>
  <si>
    <t>Lay mixed ingredients on dehydrating trays with a 3lt measuring jug as thin as possible, leaving a 2inch boarder around the edge. Each basin will occupy approximatley 44 trays</t>
  </si>
  <si>
    <t xml:space="preserve">Using a metal scoop, fill buckets (Silica on the top of bucket), place lid on tightly, write product and date on bucket lid                                        
                                        </t>
  </si>
  <si>
    <t>FINAL BATCH (g)</t>
  </si>
  <si>
    <t>PROCESS:</t>
  </si>
  <si>
    <t>GF Flour</t>
  </si>
  <si>
    <r>
      <rPr>
        <rFont val="Arial"/>
        <color theme="1"/>
        <sz val="11.0"/>
      </rPr>
      <t xml:space="preserve">Combine all </t>
    </r>
    <r>
      <rPr>
        <rFont val="Arial"/>
        <b/>
        <i/>
        <color theme="1"/>
        <sz val="11.0"/>
      </rPr>
      <t xml:space="preserve">Dry </t>
    </r>
    <r>
      <rPr>
        <rFont val="Arial"/>
        <color theme="1"/>
        <sz val="11.0"/>
      </rPr>
      <t>ingredients</t>
    </r>
  </si>
  <si>
    <t>Cacao powder</t>
  </si>
  <si>
    <r>
      <rPr>
        <rFont val="Arial"/>
        <color theme="1"/>
        <sz val="11.0"/>
      </rPr>
      <t xml:space="preserve">Separately combine all </t>
    </r>
    <r>
      <rPr>
        <rFont val="Arial"/>
        <b/>
        <i/>
        <color theme="1"/>
        <sz val="11.0"/>
      </rPr>
      <t>Wet</t>
    </r>
    <r>
      <rPr>
        <rFont val="Arial"/>
        <color theme="1"/>
        <sz val="11.0"/>
      </rPr>
      <t xml:space="preserve"> ingredients - </t>
    </r>
    <r>
      <rPr>
        <rFont val="Arial"/>
        <color rgb="FFFF0000"/>
        <sz val="11.0"/>
      </rPr>
      <t>don't heat honey just stir throught melted coco oil</t>
    </r>
  </si>
  <si>
    <t>Bicarb</t>
  </si>
  <si>
    <r>
      <rPr>
        <rFont val="Arial"/>
        <color theme="1"/>
        <sz val="11.0"/>
      </rPr>
      <t xml:space="preserve">Use food processor to chop </t>
    </r>
    <r>
      <rPr>
        <rFont val="Arial"/>
        <b/>
        <i/>
        <color theme="1"/>
        <sz val="11.0"/>
      </rPr>
      <t>Pecans</t>
    </r>
    <r>
      <rPr>
        <rFont val="Arial"/>
        <color theme="1"/>
        <sz val="11.0"/>
      </rPr>
      <t xml:space="preserve"> into rough pieces (not too small)</t>
    </r>
  </si>
  <si>
    <r>
      <rPr>
        <rFont val="Arial"/>
        <color theme="1"/>
        <sz val="11.0"/>
      </rPr>
      <t xml:space="preserve">Separatey combine chopped pecans with the remaining </t>
    </r>
    <r>
      <rPr>
        <rFont val="Arial"/>
        <b/>
        <i/>
        <color theme="1"/>
        <sz val="11.0"/>
      </rPr>
      <t>Add-ins</t>
    </r>
  </si>
  <si>
    <t>Wattleseed</t>
  </si>
  <si>
    <t>Add the dry mix to the food processor, quick blitz to ensure fully mixed</t>
  </si>
  <si>
    <t xml:space="preserve">Add the wet mix &amp; blend to form a dough </t>
  </si>
  <si>
    <r>
      <rPr>
        <rFont val="Arial"/>
        <color theme="1"/>
        <sz val="11.0"/>
      </rPr>
      <t xml:space="preserve">Add the mix of add-ins a little at a time &amp; blend slowly to fully combine </t>
    </r>
    <r>
      <rPr>
        <rFont val="Arial"/>
        <color rgb="FFEA4335"/>
        <sz val="11.0"/>
      </rPr>
      <t>- may have to finish mixing by hand</t>
    </r>
  </si>
  <si>
    <t>Pomegranate pwdr</t>
  </si>
  <si>
    <r>
      <rPr>
        <rFont val="Arial"/>
        <color theme="1"/>
        <sz val="11.0"/>
      </rPr>
      <t xml:space="preserve">Transfer dough to a container and chill (in coolroom) - </t>
    </r>
    <r>
      <rPr>
        <rFont val="Arial"/>
        <color rgb="FFFF0000"/>
        <sz val="11.0"/>
      </rPr>
      <t>30 mins+</t>
    </r>
  </si>
  <si>
    <t>Roll out dough into walnut-size balls &amp; evenly space 30 on each oven tray, then press lightly down to flatten into even circles</t>
  </si>
  <si>
    <t xml:space="preserve">Bake at 160' for 18-19 mins </t>
  </si>
  <si>
    <t xml:space="preserve">Coconut oil </t>
  </si>
  <si>
    <t>Leave to cool then jar straight away; 3 in each short jar</t>
  </si>
  <si>
    <t>Pecans</t>
  </si>
  <si>
    <t>GF FLOUR</t>
  </si>
  <si>
    <t>Dried Raspberries</t>
  </si>
  <si>
    <t>Sorghum flour</t>
  </si>
  <si>
    <t>intermediate buckwheat</t>
  </si>
  <si>
    <t>Cacao nibs</t>
  </si>
  <si>
    <t>Tapioca flour</t>
  </si>
  <si>
    <t>Pepitas ACTV</t>
  </si>
  <si>
    <t>Brown Rice</t>
  </si>
  <si>
    <t>Buckwheat</t>
  </si>
  <si>
    <t>Choc Rasp Cookies 5kg</t>
  </si>
  <si>
    <t>ISG</t>
  </si>
  <si>
    <t xml:space="preserve">Combining dry </t>
  </si>
  <si>
    <t>cooking wet</t>
  </si>
  <si>
    <t>baking</t>
  </si>
  <si>
    <r>
      <rPr>
        <rFont val="Calibri"/>
        <color theme="1"/>
        <sz val="11.0"/>
      </rPr>
      <t xml:space="preserve">Blitz the following ingredients in the LARGE food processor until "just broken up".                                         </t>
    </r>
    <r>
      <rPr>
        <rFont val="Calibri"/>
        <b/>
        <color theme="1"/>
        <sz val="11.0"/>
      </rPr>
      <t>PRESS ON FOR 2 SECONDS ONLY</t>
    </r>
  </si>
  <si>
    <t>Pecan Intermediate</t>
  </si>
  <si>
    <t xml:space="preserve">Dried Raspberries </t>
  </si>
  <si>
    <t>Set aside in a large jug.</t>
  </si>
  <si>
    <r>
      <rPr>
        <rFont val="Calibri"/>
        <color theme="1"/>
        <sz val="11.0"/>
      </rPr>
      <t xml:space="preserve">Combine below ingredients together in the LARGE food processor, blend untill combined </t>
    </r>
    <r>
      <rPr>
        <rFont val="Calibri"/>
        <b/>
        <color theme="1"/>
        <sz val="11.0"/>
      </rPr>
      <t>(dry ingredients)</t>
    </r>
  </si>
  <si>
    <t>Heat Coconut oil in 1 pot for 4 minutes on 500</t>
  </si>
  <si>
    <t xml:space="preserve">TURN OFF BURNER AFTER THIS PROCESS </t>
  </si>
  <si>
    <t>Once heated, add Honey and stir continuesly until well combined.</t>
  </si>
  <si>
    <t xml:space="preserve">Honey </t>
  </si>
  <si>
    <t>Add the warn Honey and Coconut oil to the dry ingredients in the LARGE food processor, close lid and blend until well combined, roughly 3 minutes</t>
  </si>
  <si>
    <t>Add the following ingredients to well combined dough and blend for 3 minutes until it makes a thick dough</t>
  </si>
  <si>
    <t xml:space="preserve">Pepita Intermediate </t>
  </si>
  <si>
    <t>Broken Pecan and Raspberry blend</t>
  </si>
  <si>
    <t>all of it</t>
  </si>
  <si>
    <t>Once dough is made, transfer to a blue tub and leave in cool room for 30 minutes</t>
  </si>
  <si>
    <t>Roll out dough into WALNUT sized balls and evenly space 30 on each oven tray, then press lightly to down to flatten into even circles</t>
  </si>
  <si>
    <t>Bake at 160* in the oven for 18-19 minutes</t>
  </si>
  <si>
    <t xml:space="preserve">Leave to cool on baking trays </t>
  </si>
  <si>
    <t>Once cooled, place 3 cookies into cookie jar with colour paper.</t>
  </si>
  <si>
    <t>MAPLE 300KG</t>
  </si>
  <si>
    <r>
      <rPr>
        <rFont val="Calibri, Arial"/>
        <color theme="1"/>
        <sz val="11.0"/>
      </rPr>
      <t xml:space="preserve">This recipe is one batch , it will be split into </t>
    </r>
    <r>
      <rPr>
        <rFont val="Calibri, Arial"/>
        <b/>
        <color theme="1"/>
        <sz val="11.0"/>
      </rPr>
      <t>5</t>
    </r>
    <r>
      <rPr>
        <rFont val="Calibri, Arial"/>
        <color theme="1"/>
        <sz val="11.0"/>
      </rPr>
      <t xml:space="preserve"> basins</t>
    </r>
  </si>
  <si>
    <r>
      <rPr>
        <rFont val="Calibri, Arial"/>
        <b/>
        <color theme="1"/>
        <sz val="11.0"/>
      </rPr>
      <t>Soak</t>
    </r>
    <r>
      <rPr>
        <rFont val="Calibri, Arial"/>
        <b/>
        <color theme="1"/>
        <sz val="11.0"/>
      </rPr>
      <t xml:space="preserve"> the night before, (</t>
    </r>
    <r>
      <rPr>
        <rFont val="Calibri, Arial"/>
        <b/>
        <color theme="1"/>
        <sz val="11.0"/>
      </rPr>
      <t>12 HOUR SOAK</t>
    </r>
    <r>
      <rPr>
        <rFont val="Calibri, Arial"/>
        <b/>
        <color theme="1"/>
        <sz val="11.0"/>
      </rPr>
      <t>, open tap in the morning)</t>
    </r>
  </si>
  <si>
    <r>
      <rPr>
        <rFont val="Calibri, Arial"/>
        <b/>
        <color theme="1"/>
        <sz val="11.0"/>
      </rPr>
      <t>Soak</t>
    </r>
    <r>
      <rPr>
        <rFont val="Calibri, Arial"/>
        <b/>
        <color theme="1"/>
        <sz val="11.0"/>
      </rPr>
      <t xml:space="preserve"> the morning of, (</t>
    </r>
    <r>
      <rPr>
        <rFont val="Calibri, Arial"/>
        <b/>
        <color theme="1"/>
        <sz val="11.0"/>
      </rPr>
      <t>6 HOUR SOAK</t>
    </r>
    <r>
      <rPr>
        <rFont val="Calibri, Arial"/>
        <b/>
        <color theme="1"/>
        <sz val="11.0"/>
      </rPr>
      <t>)</t>
    </r>
  </si>
  <si>
    <t>Pecans Raw</t>
  </si>
  <si>
    <r>
      <rPr>
        <rFont val="Calibri, Arial"/>
        <color theme="1"/>
        <sz val="11.0"/>
      </rPr>
      <t xml:space="preserve">Sauce Procedure - </t>
    </r>
    <r>
      <rPr>
        <rFont val="Calibri, Arial"/>
        <b/>
        <color theme="1"/>
        <sz val="11.0"/>
      </rPr>
      <t>STEP 2</t>
    </r>
  </si>
  <si>
    <r>
      <rPr>
        <rFont val="Calibri"/>
        <color theme="1"/>
        <sz val="14.0"/>
      </rPr>
      <t>In</t>
    </r>
    <r>
      <rPr>
        <rFont val="Calibri"/>
        <b/>
        <color theme="1"/>
        <sz val="14.0"/>
      </rPr>
      <t xml:space="preserve"> 5</t>
    </r>
    <r>
      <rPr>
        <rFont val="Calibri"/>
        <color theme="1"/>
        <sz val="14.0"/>
      </rPr>
      <t xml:space="preserve"> large pots, cook the following at 3000 for 20minutes  till it bubbles </t>
    </r>
  </si>
  <si>
    <r>
      <rPr>
        <rFont val="Calibri, Arial"/>
        <color theme="1"/>
        <sz val="12.0"/>
      </rPr>
      <t>In</t>
    </r>
    <r>
      <rPr>
        <rFont val="Calibri, Arial"/>
        <b/>
        <color theme="1"/>
        <sz val="12.0"/>
      </rPr>
      <t xml:space="preserve"> 5 </t>
    </r>
    <r>
      <rPr>
        <rFont val="Calibri, Arial"/>
        <color theme="1"/>
        <sz val="12.0"/>
      </rPr>
      <t>large silver basins,</t>
    </r>
    <r>
      <rPr>
        <rFont val="Calibri, Arial"/>
        <b/>
        <color theme="1"/>
        <sz val="12.0"/>
      </rPr>
      <t xml:space="preserve"> split</t>
    </r>
    <r>
      <rPr>
        <rFont val="Calibri, Arial"/>
        <color theme="1"/>
        <sz val="12.0"/>
      </rPr>
      <t xml:space="preserve"> the following ingredients into each basin equally using a 20L bucket</t>
    </r>
  </si>
  <si>
    <t>Soaked Pecans</t>
  </si>
  <si>
    <t>Teriyaki Recipe = 400kg</t>
  </si>
  <si>
    <t>Dehydrating step</t>
  </si>
  <si>
    <r>
      <rPr>
        <rFont val="Calibri, Arial"/>
        <b/>
        <color theme="1"/>
        <sz val="11.0"/>
      </rPr>
      <t>Soak</t>
    </r>
    <r>
      <rPr>
        <rFont val="Calibri, Arial"/>
        <b/>
        <color theme="1"/>
        <sz val="11.0"/>
      </rPr>
      <t xml:space="preserve"> the night before, (</t>
    </r>
    <r>
      <rPr>
        <rFont val="Calibri, Arial"/>
        <b/>
        <color theme="1"/>
        <sz val="11.0"/>
      </rPr>
      <t>12 HOUR SOAK</t>
    </r>
    <r>
      <rPr>
        <rFont val="Calibri, Arial"/>
        <b/>
        <color theme="1"/>
        <sz val="11.0"/>
      </rPr>
      <t>, open tap in the morning)</t>
    </r>
  </si>
  <si>
    <t>Apple cider vinegar</t>
  </si>
  <si>
    <r>
      <rPr>
        <rFont val="Calibri, Arial"/>
        <color theme="1"/>
        <sz val="11.0"/>
      </rPr>
      <t xml:space="preserve">Sauce Procedure - </t>
    </r>
    <r>
      <rPr>
        <rFont val="Calibri, Arial"/>
        <b/>
        <color theme="1"/>
        <sz val="11.0"/>
      </rPr>
      <t>STEP 1 (5 x 20Lt buckets)</t>
    </r>
  </si>
  <si>
    <t>1. Add to 5 x 20Ltr buckets the following..mix with Paint stirer until well combined</t>
  </si>
  <si>
    <t>Repeat this process 5 times total</t>
  </si>
  <si>
    <t>Each 5 buckets</t>
  </si>
  <si>
    <t>Sesame Oil</t>
  </si>
  <si>
    <t xml:space="preserve">Tamari - Salt Reduced </t>
  </si>
  <si>
    <t>Heat in 5 large pots for 10-11 mins at 3000w (till boiling for 15 secs)</t>
  </si>
  <si>
    <t>Each pot</t>
  </si>
  <si>
    <t>Rice malt</t>
  </si>
  <si>
    <t xml:space="preserve">1. Once rice malt has boiled for 15 secs, add one bucket of sauce to each pot and continue to boil  for an additional </t>
  </si>
  <si>
    <t xml:space="preserve">10-11 mins at 3000. </t>
  </si>
  <si>
    <t>2. Add below ingredients to blender and blend well. Repeat for each pot of sauce ( 5 times total)</t>
  </si>
  <si>
    <t>5 times</t>
  </si>
  <si>
    <t>Tapicoa Starch</t>
  </si>
  <si>
    <t xml:space="preserve">3. Once both rice malt/ sauce mixture is boiling , add the blended mixtures to each boiling sauce . </t>
  </si>
  <si>
    <t>4. Once blended ingredients are added reduce heat to 400w and stir through for approx 2 minutes, then turn off heat.</t>
  </si>
  <si>
    <r>
      <rPr>
        <rFont val="Calibri, Arial"/>
        <color theme="1"/>
        <sz val="11.0"/>
      </rPr>
      <t xml:space="preserve">Texture </t>
    </r>
    <r>
      <rPr>
        <rFont val="Calibri, Arial"/>
        <b/>
        <color theme="1"/>
        <sz val="11.0"/>
      </rPr>
      <t>MUST</t>
    </r>
    <r>
      <rPr>
        <rFont val="Calibri, Arial"/>
        <color theme="1"/>
        <sz val="11.0"/>
      </rPr>
      <t xml:space="preserve"> be thick!!</t>
    </r>
  </si>
  <si>
    <r>
      <rPr>
        <rFont val="Calibri, Arial"/>
        <color theme="1"/>
        <sz val="11.0"/>
      </rPr>
      <t xml:space="preserve">1. In </t>
    </r>
    <r>
      <rPr>
        <rFont val="Calibri, Arial"/>
        <b/>
        <color theme="1"/>
        <sz val="11.0"/>
      </rPr>
      <t>5</t>
    </r>
    <r>
      <rPr>
        <rFont val="Calibri, Arial"/>
        <color theme="1"/>
        <sz val="11.0"/>
      </rPr>
      <t xml:space="preserve"> large silver basins, split soaked nuts using 20L bucket and</t>
    </r>
    <r>
      <rPr>
        <rFont val="Calibri, Arial"/>
        <b/>
        <color theme="1"/>
        <sz val="11.0"/>
      </rPr>
      <t xml:space="preserve"> ADD</t>
    </r>
    <r>
      <rPr>
        <rFont val="Calibri, Arial"/>
        <color theme="1"/>
        <sz val="11.0"/>
      </rPr>
      <t xml:space="preserve"> the following ingredients</t>
    </r>
  </si>
  <si>
    <t>Each 5 basins</t>
  </si>
  <si>
    <t>Split into 5</t>
  </si>
  <si>
    <t>2. Weigh out left over dust in buckets. Split evenly with batches.</t>
  </si>
  <si>
    <t>(MAX HALF BUCKET OF DUST PER BATCH)</t>
  </si>
  <si>
    <t>3. MIX ingredients well</t>
  </si>
  <si>
    <t>4. Add sauce mixture to each basin, Mix untill all ingredients are covered in sauce</t>
  </si>
  <si>
    <r>
      <rPr>
        <rFont val="Calibri, Arial"/>
        <color theme="1"/>
        <sz val="11.0"/>
      </rPr>
      <t xml:space="preserve">1. Lay mixed ingredients on dehydrating trays with a </t>
    </r>
    <r>
      <rPr>
        <rFont val="Calibri, Arial"/>
        <b/>
        <color theme="1"/>
        <sz val="11.0"/>
      </rPr>
      <t>3lt</t>
    </r>
    <r>
      <rPr>
        <rFont val="Calibri, Arial"/>
        <color theme="1"/>
        <sz val="11.0"/>
      </rPr>
      <t xml:space="preserve"> measuring jug as thin as possible, leaving a 2inch boarder around the edge</t>
    </r>
  </si>
  <si>
    <t xml:space="preserve">Dehydrate for 48 hours at 55*C </t>
  </si>
  <si>
    <r>
      <rPr>
        <rFont val="Calibri, Arial"/>
        <b/>
        <color theme="1"/>
        <sz val="11.0"/>
      </rPr>
      <t>Soak</t>
    </r>
    <r>
      <rPr>
        <rFont val="Calibri, Arial"/>
        <b/>
        <color theme="1"/>
        <sz val="11.0"/>
      </rPr>
      <t xml:space="preserve"> the night before, (</t>
    </r>
    <r>
      <rPr>
        <rFont val="Calibri, Arial"/>
        <b/>
        <color theme="1"/>
        <sz val="11.0"/>
      </rPr>
      <t>12 HOUR SOAK</t>
    </r>
    <r>
      <rPr>
        <rFont val="Calibri, Arial"/>
        <b/>
        <color theme="1"/>
        <sz val="11.0"/>
      </rPr>
      <t>, open tap in the morning)</t>
    </r>
  </si>
  <si>
    <r>
      <rPr>
        <rFont val="Calibri, Arial"/>
        <color theme="1"/>
        <sz val="11.0"/>
      </rPr>
      <t xml:space="preserve">Sauce Procedure - </t>
    </r>
    <r>
      <rPr>
        <rFont val="Calibri, Arial"/>
        <b/>
        <color theme="1"/>
        <sz val="11.0"/>
      </rPr>
      <t>STEP 1 (5 x 20Lt buckets)</t>
    </r>
  </si>
  <si>
    <r>
      <rPr>
        <rFont val="Calibri, Arial"/>
        <color theme="1"/>
        <sz val="11.0"/>
      </rPr>
      <t xml:space="preserve">Texture </t>
    </r>
    <r>
      <rPr>
        <rFont val="Calibri, Arial"/>
        <b/>
        <color theme="1"/>
        <sz val="11.0"/>
      </rPr>
      <t>MUST</t>
    </r>
    <r>
      <rPr>
        <rFont val="Calibri, Arial"/>
        <color theme="1"/>
        <sz val="11.0"/>
      </rPr>
      <t xml:space="preserve"> be thick!!</t>
    </r>
  </si>
  <si>
    <r>
      <rPr>
        <rFont val="Calibri, Arial"/>
        <color theme="1"/>
        <sz val="11.0"/>
      </rPr>
      <t xml:space="preserve">1. In </t>
    </r>
    <r>
      <rPr>
        <rFont val="Calibri, Arial"/>
        <b/>
        <color theme="1"/>
        <sz val="11.0"/>
      </rPr>
      <t>5</t>
    </r>
    <r>
      <rPr>
        <rFont val="Calibri, Arial"/>
        <color theme="1"/>
        <sz val="11.0"/>
      </rPr>
      <t xml:space="preserve"> large silver basins, split soaked nuts using 20L bucket and</t>
    </r>
    <r>
      <rPr>
        <rFont val="Calibri, Arial"/>
        <b/>
        <color theme="1"/>
        <sz val="11.0"/>
      </rPr>
      <t xml:space="preserve"> ADD</t>
    </r>
    <r>
      <rPr>
        <rFont val="Calibri, Arial"/>
        <color theme="1"/>
        <sz val="11.0"/>
      </rPr>
      <t xml:space="preserve"> the following ingredients</t>
    </r>
  </si>
  <si>
    <t>Blended Wakame</t>
  </si>
  <si>
    <r>
      <rPr>
        <rFont val="Calibri, Arial"/>
        <color theme="1"/>
        <sz val="11.0"/>
      </rPr>
      <t xml:space="preserve">1. Lay mixed ingredients on dehydrating trays with a </t>
    </r>
    <r>
      <rPr>
        <rFont val="Calibri, Arial"/>
        <b/>
        <color theme="1"/>
        <sz val="11.0"/>
      </rPr>
      <t>3lt</t>
    </r>
    <r>
      <rPr>
        <rFont val="Calibri, Arial"/>
        <color theme="1"/>
        <sz val="11.0"/>
      </rPr>
      <t xml:space="preserve"> measuring jug as thin as possible, leaving a 2inch boarder around the edge</t>
    </r>
  </si>
  <si>
    <t>Chocolate Cluster = 300kg</t>
  </si>
  <si>
    <t>ICC</t>
  </si>
  <si>
    <t>coconut chip procedure</t>
  </si>
  <si>
    <t>soaking</t>
  </si>
  <si>
    <t>Silver basin</t>
  </si>
  <si>
    <t>Colloid Mill procedure</t>
  </si>
  <si>
    <t>Laying Step 1</t>
  </si>
  <si>
    <t>Laying Step 2</t>
  </si>
  <si>
    <t>Bucketing in 20lr buckets</t>
  </si>
  <si>
    <t>Soak the following ingredient night before</t>
  </si>
  <si>
    <t>Walnuts</t>
  </si>
  <si>
    <t>Soak the following ingredients in a soaking basin 6 hours prior to mixing</t>
  </si>
  <si>
    <t>Buckwheat Kernals</t>
  </si>
  <si>
    <t>Pepitas</t>
  </si>
  <si>
    <t xml:space="preserve">1. Wash and rinse all ingredients several times throughout soaking. </t>
  </si>
  <si>
    <t>2. Once ingredients have soaked for 6 hours, drain water and rinse again with water while draining.</t>
  </si>
  <si>
    <r>
      <rPr>
        <rFont val="Calibri"/>
        <color theme="1"/>
        <sz val="11.0"/>
      </rPr>
      <t xml:space="preserve">Add the following to </t>
    </r>
    <r>
      <rPr>
        <rFont val="Calibri"/>
        <b/>
        <color theme="1"/>
        <sz val="11.0"/>
      </rPr>
      <t>1</t>
    </r>
    <r>
      <rPr>
        <rFont val="Calibri"/>
        <color theme="1"/>
        <sz val="11.0"/>
      </rPr>
      <t xml:space="preserve"> large silver basin and mix with paint stirer</t>
    </r>
  </si>
  <si>
    <t>150kg assembly</t>
  </si>
  <si>
    <t>Basin</t>
  </si>
  <si>
    <t>Warm water</t>
  </si>
  <si>
    <t>Coconut Milk Powder</t>
  </si>
  <si>
    <t>Cinnamon Powder</t>
  </si>
  <si>
    <t>Ginger Powder</t>
  </si>
  <si>
    <t>Nutmeg</t>
  </si>
  <si>
    <t>Cooking Salt</t>
  </si>
  <si>
    <t xml:space="preserve">Cacao Paste (shaved) </t>
  </si>
  <si>
    <t>Total</t>
  </si>
  <si>
    <t>Each 41.05</t>
  </si>
  <si>
    <t>1. Mix ingredients with paint stirer before pouring through Colloid Mill.</t>
  </si>
  <si>
    <t>2. Once ingredients are mixed well, place a blue tub and scale under tap of colloid mill , then pour ingredients through Colloid Mill into blue tubs ( 41.05kg each tub)</t>
  </si>
  <si>
    <t>Mix all ingredients until well covered</t>
  </si>
  <si>
    <r>
      <rPr>
        <rFont val="Arial"/>
        <color theme="1"/>
        <sz val="11.0"/>
      </rPr>
      <t xml:space="preserve">In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large silver basins,</t>
    </r>
    <r>
      <rPr>
        <rFont val="Arial"/>
        <b/>
        <color theme="1"/>
        <sz val="11.0"/>
      </rPr>
      <t xml:space="preserve"> ADD</t>
    </r>
    <r>
      <rPr>
        <rFont val="Arial"/>
        <color theme="1"/>
        <sz val="11.0"/>
      </rPr>
      <t xml:space="preserve"> the following ingredients</t>
    </r>
  </si>
  <si>
    <t>Sorghum Puffs</t>
  </si>
  <si>
    <t>( add 3kg now and 3kg after sauce is added)</t>
  </si>
  <si>
    <t>Rasperries</t>
  </si>
  <si>
    <t>Diced Dates</t>
  </si>
  <si>
    <t>Cherries</t>
  </si>
  <si>
    <t>Int. ICCC</t>
  </si>
  <si>
    <t>1. Divide all soaked ingredients between the 4 basins after drained.</t>
  </si>
  <si>
    <t>2. Weigh out left over dust in buckets. Split evenly with basins.</t>
  </si>
  <si>
    <t>3. Mix all soaked and dry ingredients within each basin</t>
  </si>
  <si>
    <t>4. Add 1 blue tub of sauce to each basin ( 41.05kg)</t>
  </si>
  <si>
    <t>5. Mix each basin thoroughly and add remaining 3 kg puff sorghum</t>
  </si>
  <si>
    <t>Using a 3Lt scoop, lay product on dehydrating trays and dehydrate on 55C for 48hours</t>
  </si>
  <si>
    <t>Once product is cooked, use a paint scraper to scrape product into a black tub that is placed onto a kitchen scale,</t>
  </si>
  <si>
    <t>After this is completed, using the silver scoop with handle, bucket the clusters into 20ltr buckets placing silica ontop of product</t>
  </si>
  <si>
    <t>Date the lid and put away in designated area of warehouse</t>
  </si>
  <si>
    <t>Chocolate cluster coconut = 60kg</t>
  </si>
  <si>
    <t>DEFROST PLUMS NIGHT BEFORE IN COOLROOM</t>
  </si>
  <si>
    <t>unleashed</t>
  </si>
  <si>
    <t>Blend the following ingredient in food processor till a pulp</t>
  </si>
  <si>
    <t>Davidson Plum</t>
  </si>
  <si>
    <t>Mix with Paint stirer the following ingredients in a blue tubs</t>
  </si>
  <si>
    <t>Blended Davidson Plum</t>
  </si>
  <si>
    <t>Beetroot Powder</t>
  </si>
  <si>
    <t>Mix this product with following ingredient until all covered.</t>
  </si>
  <si>
    <t>Lay on dehydtrating trays with a 3ltr scoop  and dehydrate on 65C for 24hours</t>
  </si>
  <si>
    <t>Caramel Cluster Recipe = 320kg</t>
  </si>
  <si>
    <t>Cold brew coffee Procedure</t>
  </si>
  <si>
    <t>Soaking Nuts</t>
  </si>
  <si>
    <t>Silver basin Ingredients</t>
  </si>
  <si>
    <t>colloid mill procedure</t>
  </si>
  <si>
    <t>Paints stirer</t>
  </si>
  <si>
    <t>Bucketing in 20ltr buckets</t>
  </si>
  <si>
    <t>1. Day prior to assembly, soak 1kg ground coffee in 60kg water to make cold brew coffee.</t>
  </si>
  <si>
    <t>Soak overnight the following ingredient</t>
  </si>
  <si>
    <t xml:space="preserve">Soak 7hrs prior to assembly: </t>
  </si>
  <si>
    <t>Wash and rinse soaked ingredients several times throughout soaking process</t>
  </si>
  <si>
    <t>Once ingredients have been soaked for 5 hours, drain water and rinse again with water while draining.</t>
  </si>
  <si>
    <t>Add to large silver basin and mix with paint stirer</t>
  </si>
  <si>
    <t>Cold brew coffee</t>
  </si>
  <si>
    <t>Coconut milk powder</t>
  </si>
  <si>
    <t>Clove whole</t>
  </si>
  <si>
    <t>Maca Powder</t>
  </si>
  <si>
    <t>Mesquite Powder</t>
  </si>
  <si>
    <t>Each 39.3</t>
  </si>
  <si>
    <r>
      <rPr>
        <rFont val="Arial"/>
        <color theme="1"/>
        <sz val="11.0"/>
      </rPr>
      <t xml:space="preserve">1. Once ingredients are mixed well, place a blue tub and scale under tap of colloid mill, then pour ingredients through Colloid Mill into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blue tubs, each portion of sauce weighing approx 39.3kg each</t>
    </r>
  </si>
  <si>
    <r>
      <rPr>
        <rFont val="Arial"/>
        <color theme="1"/>
        <sz val="11.0"/>
      </rPr>
      <t>In</t>
    </r>
    <r>
      <rPr>
        <rFont val="Arial"/>
        <b/>
        <color theme="1"/>
        <sz val="11.0"/>
      </rPr>
      <t xml:space="preserve"> 4</t>
    </r>
    <r>
      <rPr>
        <rFont val="Arial"/>
        <color theme="1"/>
        <sz val="11.0"/>
      </rPr>
      <t xml:space="preserve"> large silver basins,</t>
    </r>
    <r>
      <rPr>
        <rFont val="Arial"/>
        <b/>
        <color theme="1"/>
        <sz val="11.0"/>
      </rPr>
      <t xml:space="preserve"> ADD</t>
    </r>
    <r>
      <rPr>
        <rFont val="Arial"/>
        <color theme="1"/>
        <sz val="11.0"/>
      </rPr>
      <t xml:space="preserve"> the following ingredients to each basin</t>
    </r>
  </si>
  <si>
    <t>Sesame seeds</t>
  </si>
  <si>
    <t>Activated Hazelnuts</t>
  </si>
  <si>
    <t>1. Divide all soaked ingredients between the 4 basins</t>
  </si>
  <si>
    <r>
      <rPr>
        <rFont val="Arial"/>
        <b/>
        <color theme="1"/>
        <sz val="11.0"/>
      </rPr>
      <t xml:space="preserve">3.  </t>
    </r>
    <r>
      <rPr>
        <rFont val="Calibri"/>
        <b/>
        <color theme="1"/>
        <sz val="11.0"/>
      </rPr>
      <t>Mix all soaked and dry ingredients within each basin</t>
    </r>
  </si>
  <si>
    <t>4. Pour 1 blue tub of sauce ( 39.3kg) into each basin and mix again thoroughly</t>
  </si>
  <si>
    <t>Once product is dehydrated, use a paint scraper to scrape product into a black tub that is placed onto a kitchen scale,</t>
  </si>
  <si>
    <t>Seed Mix = 60kg</t>
  </si>
  <si>
    <t>IMS</t>
  </si>
  <si>
    <t>In blue tub</t>
  </si>
  <si>
    <t>In a silver basin add the following</t>
  </si>
  <si>
    <t>Activated Sunflower seeds</t>
  </si>
  <si>
    <t>Linseed Organic</t>
  </si>
  <si>
    <t>Chia seeds</t>
  </si>
  <si>
    <t>Activated Pepitas</t>
  </si>
  <si>
    <t>Mix all of the ingredients well</t>
  </si>
  <si>
    <t>Bucket seed mix into 20ltr tubs until full</t>
  </si>
  <si>
    <t>Place lid on buckets and date the lid with date of manufacturing</t>
  </si>
  <si>
    <t>DMTea = 20kg</t>
  </si>
  <si>
    <t>PROCESS WHOLE STAR ANISE (IN FOOD PROCESSOR) INTO PIECES BEFORE ADDING TO BASIN</t>
  </si>
  <si>
    <t>In 1 big silver basin, weigh the following ingredients</t>
  </si>
  <si>
    <t>Ginko Leaf Organic</t>
  </si>
  <si>
    <t>Ginseng</t>
  </si>
  <si>
    <t>Bacopa/Brahmi</t>
  </si>
  <si>
    <t>Lemon Balm</t>
  </si>
  <si>
    <t>Ginger Root Cut</t>
  </si>
  <si>
    <t>Rhodiola Root</t>
  </si>
  <si>
    <t>Gotu kola</t>
  </si>
  <si>
    <t>Hibiscus</t>
  </si>
  <si>
    <t>Star Anise ( PIECES!)</t>
  </si>
  <si>
    <t>Orange Peel</t>
  </si>
  <si>
    <t>Cinnamon chips</t>
  </si>
  <si>
    <t>Jasmine Bud</t>
  </si>
  <si>
    <t>Rooibos</t>
  </si>
  <si>
    <t>****Make sure to put on a face mask as the mixing process is very dusty and can be sensitive to your lungs****</t>
  </si>
  <si>
    <t xml:space="preserve">Mix all dry ingredients with hands (wearing green gloves) untill all product is mixed well and even. </t>
  </si>
  <si>
    <t>DMTea = 30kg</t>
  </si>
  <si>
    <t>1x silver basin for each batch of 30kg</t>
  </si>
  <si>
    <t>red or blue tubs</t>
  </si>
  <si>
    <r>
      <rPr>
        <rFont val="Calibri, Arial"/>
        <color theme="1"/>
        <sz val="11.0"/>
      </rPr>
      <t>In a silver</t>
    </r>
    <r>
      <rPr>
        <rFont val="Calibri, Arial"/>
        <b/>
        <color theme="1"/>
        <sz val="11.0"/>
      </rPr>
      <t xml:space="preserve"> basin, add below ingredients and then mix WELL</t>
    </r>
  </si>
  <si>
    <r>
      <rPr>
        <rFont val="Calibri"/>
        <color theme="1"/>
        <sz val="11.0"/>
      </rPr>
      <t>Star Anise (</t>
    </r>
    <r>
      <rPr>
        <rFont val="Calibri"/>
        <b/>
        <color theme="1"/>
        <sz val="11.0"/>
      </rPr>
      <t xml:space="preserve"> PIECES!)</t>
    </r>
  </si>
  <si>
    <t>Date the lid on tub with the date of manufacturing</t>
  </si>
  <si>
    <t>Once all ingredients are mixed well, complete assembly in LB warehouse for packaging to TX</t>
  </si>
  <si>
    <t>Chillax = 60kg</t>
  </si>
  <si>
    <t>ITC</t>
  </si>
  <si>
    <r>
      <rPr>
        <rFont val="Calibri, Arial"/>
        <color theme="1"/>
        <sz val="11.0"/>
      </rPr>
      <t>In the large auger</t>
    </r>
    <r>
      <rPr>
        <rFont val="Calibri, Arial"/>
        <b/>
        <color theme="1"/>
        <sz val="11.0"/>
      </rPr>
      <t xml:space="preserve"> basin, add below ingredients and then mix WELL</t>
    </r>
  </si>
  <si>
    <t xml:space="preserve">Basin </t>
  </si>
  <si>
    <t>Passion Flower</t>
  </si>
  <si>
    <t>Scullcap</t>
  </si>
  <si>
    <t>Lavender Flower</t>
  </si>
  <si>
    <t>Chamomille</t>
  </si>
  <si>
    <t>Valerian</t>
  </si>
  <si>
    <t>Rose Petal</t>
  </si>
  <si>
    <t>Ashwagandha root</t>
  </si>
  <si>
    <t>Spearmint</t>
  </si>
  <si>
    <t>Licorice Root</t>
  </si>
  <si>
    <t>Chillax = 30kg</t>
  </si>
  <si>
    <r>
      <rPr>
        <rFont val="Calibri, Arial"/>
        <color theme="1"/>
        <sz val="11.0"/>
      </rPr>
      <t>In a silver</t>
    </r>
    <r>
      <rPr>
        <rFont val="Calibri, Arial"/>
        <b/>
        <color theme="1"/>
        <sz val="11.0"/>
      </rPr>
      <t xml:space="preserve"> basin, add below ingredients and then mix WELL</t>
    </r>
  </si>
  <si>
    <t>ImmuniTea 50 kg</t>
  </si>
  <si>
    <t>In 2 silver basins, add the following ingredients</t>
  </si>
  <si>
    <t>Juniper berries</t>
  </si>
  <si>
    <t>Reishi slices</t>
  </si>
  <si>
    <t>Astragalus root</t>
  </si>
  <si>
    <t>Elderberry</t>
  </si>
  <si>
    <t>Oregano</t>
  </si>
  <si>
    <t>Olive leaf</t>
  </si>
  <si>
    <t>Ginger root cut</t>
  </si>
  <si>
    <t>Jasmine bud</t>
  </si>
  <si>
    <t>Fennel</t>
  </si>
  <si>
    <t>Peppermint</t>
  </si>
  <si>
    <t>Butterfly pea flower</t>
  </si>
  <si>
    <t>Dandelion leaf</t>
  </si>
  <si>
    <t>Chamomile</t>
  </si>
  <si>
    <t>1.5</t>
  </si>
  <si>
    <t>Orange peel</t>
  </si>
  <si>
    <t>0.2</t>
  </si>
  <si>
    <t>Licorice root</t>
  </si>
  <si>
    <t>0.5</t>
  </si>
  <si>
    <t>0.25</t>
  </si>
  <si>
    <t>ImmuniTea 20 kg</t>
  </si>
  <si>
    <t>1x silver basin for each batch of 20kg</t>
  </si>
  <si>
    <t>BEFORE ASSEMBLING - Blend Reishi slices to small bits in the food processor (3 pulses = 3 sec per pulse)</t>
  </si>
  <si>
    <r>
      <rPr>
        <rFont val="Calibri, Arial"/>
        <color theme="1"/>
        <sz val="11.0"/>
      </rPr>
      <t>In a silver</t>
    </r>
    <r>
      <rPr>
        <rFont val="Calibri, Arial"/>
        <b/>
        <color theme="1"/>
        <sz val="11.0"/>
      </rPr>
      <t xml:space="preserve"> basin, add below ingredients and then mix WELL</t>
    </r>
  </si>
  <si>
    <t>Tummy Tea = 40kg</t>
  </si>
  <si>
    <t>ITT</t>
  </si>
  <si>
    <r>
      <rPr>
        <rFont val="Calibri, Arial"/>
        <color theme="1"/>
        <sz val="11.0"/>
      </rPr>
      <t xml:space="preserve">In </t>
    </r>
    <r>
      <rPr>
        <rFont val="Calibri, Arial"/>
        <b/>
        <color theme="1"/>
        <sz val="11.0"/>
      </rPr>
      <t xml:space="preserve">2 </t>
    </r>
    <r>
      <rPr>
        <rFont val="Calibri, Arial"/>
        <color theme="1"/>
        <sz val="11.0"/>
      </rPr>
      <t xml:space="preserve"> big silver basin, weigh the following ingredients</t>
    </r>
  </si>
  <si>
    <t>Marshmallow</t>
  </si>
  <si>
    <t>Barberry Bark</t>
  </si>
  <si>
    <t>Liquorice Root</t>
  </si>
  <si>
    <t>Cornflowers</t>
  </si>
  <si>
    <t>Tummy Tea = 30kg</t>
  </si>
  <si>
    <r>
      <rPr>
        <rFont val="Calibri, Arial"/>
        <color theme="1"/>
        <sz val="11.0"/>
      </rPr>
      <t>In a silver</t>
    </r>
    <r>
      <rPr>
        <rFont val="Calibri, Arial"/>
        <b/>
        <color theme="1"/>
        <sz val="11.0"/>
      </rPr>
      <t xml:space="preserve"> basin, add below ingredients and then mix WELL</t>
    </r>
  </si>
  <si>
    <t>Fire Starter = 25kg</t>
  </si>
  <si>
    <t>ITF</t>
  </si>
  <si>
    <r>
      <rPr>
        <rFont val="Calibri, Arial"/>
        <color theme="1"/>
        <sz val="11.0"/>
      </rPr>
      <t xml:space="preserve">In </t>
    </r>
    <r>
      <rPr>
        <rFont val="Calibri, Arial"/>
        <b/>
        <color theme="1"/>
        <sz val="11.0"/>
      </rPr>
      <t>ONE</t>
    </r>
    <r>
      <rPr>
        <rFont val="Calibri, Arial"/>
        <color theme="1"/>
        <sz val="11.0"/>
      </rPr>
      <t xml:space="preserve"> big silver basin, weigh the following ingredients</t>
    </r>
  </si>
  <si>
    <t>Oolong</t>
  </si>
  <si>
    <t>Chilli Flakes</t>
  </si>
  <si>
    <r>
      <rPr>
        <rFont val="Calibri, Arial"/>
        <color theme="1"/>
        <sz val="11.0"/>
      </rPr>
      <t>Star Anise</t>
    </r>
    <r>
      <rPr>
        <rFont val="Calibri, Arial"/>
        <b/>
        <color theme="1"/>
        <sz val="11.0"/>
      </rPr>
      <t xml:space="preserve"> BROKEN PIECES</t>
    </r>
  </si>
  <si>
    <t>Barberries</t>
  </si>
  <si>
    <t>Schisandra Berries</t>
  </si>
  <si>
    <t>Yerba Mate</t>
  </si>
  <si>
    <t>Fire Starter = 20kg</t>
  </si>
  <si>
    <r>
      <rPr>
        <rFont val="Calibri, Arial"/>
        <color theme="1"/>
        <sz val="11.0"/>
      </rPr>
      <t xml:space="preserve">In </t>
    </r>
    <r>
      <rPr>
        <rFont val="Calibri, Arial"/>
        <b/>
        <color theme="1"/>
        <sz val="11.0"/>
      </rPr>
      <t>ONE</t>
    </r>
    <r>
      <rPr>
        <rFont val="Calibri, Arial"/>
        <color theme="1"/>
        <sz val="11.0"/>
      </rPr>
      <t xml:space="preserve"> big silver basin, weigh the following ingredients</t>
    </r>
  </si>
  <si>
    <r>
      <rPr>
        <rFont val="Calibri, Arial"/>
        <color theme="1"/>
        <sz val="11.0"/>
      </rPr>
      <t>Star Anise</t>
    </r>
    <r>
      <rPr>
        <rFont val="Calibri, Arial"/>
        <b/>
        <color theme="1"/>
        <sz val="11.0"/>
      </rPr>
      <t xml:space="preserve"> BROKEN PIECES</t>
    </r>
  </si>
  <si>
    <t>Green Stardust = 10kg</t>
  </si>
  <si>
    <t>Powders</t>
  </si>
  <si>
    <t>Mixing/Sifting</t>
  </si>
  <si>
    <t>In a big silver basin, weigh the following ingredients</t>
  </si>
  <si>
    <t>Brocccoli Sprout Powder</t>
  </si>
  <si>
    <t>lemon myrtle powder</t>
  </si>
  <si>
    <t>Freeze Dried Lemon Powder</t>
  </si>
  <si>
    <t>Matcha+Moringa</t>
  </si>
  <si>
    <t>Moringa</t>
  </si>
  <si>
    <t>**When weighing powders, set up dust extracter machine to suck up any light dust**</t>
  </si>
  <si>
    <t>If there are any clumps visible, get circular sifter and sift all clumps over silver basin until no clumps are visible</t>
  </si>
  <si>
    <t>Green Stardust = 50kg</t>
  </si>
  <si>
    <t>1x silver basin for each batch of 50kg</t>
  </si>
  <si>
    <t>Matcha ORGANIC - (Generic)</t>
  </si>
  <si>
    <t>Moringa Powder</t>
  </si>
  <si>
    <t>Cacao Stardust = 80kg</t>
  </si>
  <si>
    <t>ISB</t>
  </si>
  <si>
    <t>Shroom Bloom</t>
  </si>
  <si>
    <t>Rhodiola</t>
  </si>
  <si>
    <t>Choc Stardust = 50kg</t>
  </si>
  <si>
    <t>Red Stardust = 80kg</t>
  </si>
  <si>
    <t>Beetroot, Acai, Blueberry, Strawberry powder</t>
  </si>
  <si>
    <t>Red Stardust = 50kg</t>
  </si>
  <si>
    <t>In a big silver basin, weigh the following ingredients and mix WELL</t>
  </si>
  <si>
    <t>Red Stardust mix 3</t>
  </si>
  <si>
    <t>Yellow Stardust = 80kg</t>
  </si>
  <si>
    <t>ISY</t>
  </si>
  <si>
    <t>Ginger Root Ground</t>
  </si>
  <si>
    <t>Black Pepper (GROUND)</t>
  </si>
  <si>
    <t>Cinnamon Ceylon Powder</t>
  </si>
  <si>
    <t xml:space="preserve">Turmeric Powder </t>
  </si>
  <si>
    <t>Yellow Stardust = 50kg</t>
  </si>
  <si>
    <t>Chocolate Protein = 60kg</t>
  </si>
  <si>
    <t>ISPCH</t>
  </si>
  <si>
    <t>Organic Cacao Powder</t>
  </si>
  <si>
    <t xml:space="preserve">Intermediate Original Protein Powder </t>
  </si>
  <si>
    <t>Chocolate Protein = 50kg</t>
  </si>
  <si>
    <t>Caramel Protein = 40kg</t>
  </si>
  <si>
    <t>ISPCA</t>
  </si>
  <si>
    <t>Organic Maca Powder</t>
  </si>
  <si>
    <t>Intermediate Original Protein Powder</t>
  </si>
  <si>
    <t>Original Protein = 120kg</t>
  </si>
  <si>
    <t>ISPO</t>
  </si>
  <si>
    <t>Brown Rice Protein Powder ORGANIC</t>
  </si>
  <si>
    <t>Pumpkin Seed Protein Powder</t>
  </si>
  <si>
    <t>Pea Protein Powder - Organic</t>
  </si>
  <si>
    <t>Hemp Protein Powder</t>
  </si>
  <si>
    <t>Original Protein = 50kg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</si>
</sst>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0.0000"/>
    <numFmt numFmtId="166" formatCode="0.000000"/>
    <numFmt numFmtId="167" formatCode="0.00000"/>
    <numFmt numFmtId="168" formatCode="0.0"/>
  </numFmts>
  <fonts count="43">
    <font>
      <sz val="10.0"/>
      <color rgb="FF000000"/>
      <name val="Arial"/>
      <scheme val="minor"/>
    </font>
    <font>
      <b/>
      <sz val="4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7.0"/>
      <color theme="1"/>
      <name val="Calibri"/>
    </font>
    <font/>
    <font>
      <b/>
      <sz val="13.0"/>
      <color theme="1"/>
      <name val="Calibri"/>
    </font>
    <font>
      <color theme="1"/>
      <name val="Arial"/>
      <scheme val="minor"/>
    </font>
    <font>
      <u/>
      <sz val="11.0"/>
      <color theme="1"/>
      <name val="Calibri"/>
    </font>
    <font>
      <sz val="11.0"/>
      <color theme="1"/>
      <name val="Arial"/>
    </font>
    <font>
      <b/>
      <sz val="12.0"/>
      <color theme="1"/>
      <name val="Calibri"/>
    </font>
    <font>
      <sz val="11.0"/>
      <color rgb="FF000000"/>
      <name val="Calibri"/>
    </font>
    <font>
      <b/>
      <sz val="16.0"/>
      <color theme="1"/>
      <name val="Calibri"/>
    </font>
    <font>
      <b/>
      <u/>
      <sz val="11.0"/>
      <color theme="1"/>
      <name val="Calibri"/>
    </font>
    <font>
      <u/>
      <color theme="1"/>
      <name val="Arial"/>
      <scheme val="minor"/>
    </font>
    <font>
      <b/>
      <u/>
      <sz val="11.0"/>
      <color theme="1"/>
      <name val="Calibri"/>
    </font>
    <font>
      <b/>
      <color theme="1"/>
      <name val="Arial"/>
      <scheme val="minor"/>
    </font>
    <font>
      <b/>
      <sz val="14.0"/>
      <color theme="1"/>
      <name val="Calibri"/>
    </font>
    <font>
      <b/>
      <u/>
      <sz val="11.0"/>
      <color theme="1"/>
      <name val="Calibri"/>
    </font>
    <font>
      <sz val="16.0"/>
      <color theme="1"/>
      <name val="Calibri"/>
    </font>
    <font>
      <b/>
      <sz val="11.0"/>
      <color rgb="FF000000"/>
      <name val="Docs-Calibri"/>
    </font>
    <font>
      <sz val="10.0"/>
      <color theme="1"/>
      <name val="Calibri"/>
    </font>
    <font>
      <b/>
      <sz val="11.0"/>
      <color rgb="FF000000"/>
      <name val="Calibri"/>
    </font>
    <font>
      <sz val="11.0"/>
      <color theme="1"/>
      <name val="Docs-Calibri"/>
    </font>
    <font>
      <sz val="12.0"/>
      <color theme="1"/>
      <name val="Calibri"/>
    </font>
    <font>
      <b/>
      <sz val="36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rgb="FF000000"/>
      <name val="Docs-Calibri"/>
    </font>
    <font>
      <b/>
      <sz val="32.0"/>
      <color theme="1"/>
      <name val="Calibri"/>
    </font>
    <font>
      <b/>
      <sz val="11.0"/>
      <color theme="1"/>
      <name val="Arial"/>
    </font>
    <font>
      <sz val="11.0"/>
      <color theme="1"/>
      <name val="Roboto"/>
    </font>
    <font>
      <color theme="1"/>
      <name val="Calibri"/>
    </font>
    <font>
      <sz val="14.0"/>
      <color theme="1"/>
      <name val="Calibri"/>
    </font>
    <font>
      <b/>
      <sz val="30.0"/>
      <color theme="1"/>
      <name val="Arial"/>
    </font>
    <font>
      <sz val="31.0"/>
      <color rgb="FF000000"/>
      <name val="Arial"/>
    </font>
    <font>
      <sz val="32.0"/>
      <color rgb="FF000000"/>
      <name val="Arial"/>
    </font>
    <font>
      <sz val="33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</font>
    <font>
      <b/>
      <sz val="11.0"/>
      <color rgb="FF000000"/>
      <name val="Arial"/>
    </font>
    <font>
      <b/>
      <sz val="10.0"/>
      <color theme="1"/>
      <name val="Calibri"/>
    </font>
    <font>
      <b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29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top"/>
    </xf>
    <xf borderId="1" fillId="0" fontId="2" numFmtId="164" xfId="0" applyBorder="1" applyFont="1" applyNumberFormat="1"/>
    <xf borderId="1" fillId="2" fontId="2" numFmtId="164" xfId="0" applyAlignment="1" applyBorder="1" applyFill="1" applyFont="1" applyNumberForma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horizontal="center" shrinkToFit="0" wrapText="1"/>
    </xf>
    <xf borderId="1" fillId="0" fontId="5" numFmtId="0" xfId="0" applyBorder="1" applyFont="1"/>
    <xf borderId="1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shrinkToFit="0" wrapText="1"/>
    </xf>
    <xf borderId="3" fillId="3" fontId="6" numFmtId="0" xfId="0" applyAlignment="1" applyBorder="1" applyFill="1" applyFont="1">
      <alignment horizontal="center" shrinkToFit="0" wrapText="1"/>
    </xf>
    <xf borderId="0" fillId="3" fontId="2" numFmtId="164" xfId="0" applyAlignment="1" applyFont="1" applyNumberFormat="1">
      <alignment horizontal="center" shrinkToFit="0" vertical="top" wrapText="1"/>
    </xf>
    <xf borderId="4" fillId="0" fontId="5" numFmtId="0" xfId="0" applyBorder="1" applyFont="1"/>
    <xf borderId="5" fillId="3" fontId="2" numFmtId="0" xfId="0" applyAlignment="1" applyBorder="1" applyFont="1">
      <alignment vertical="top"/>
    </xf>
    <xf borderId="3" fillId="0" fontId="5" numFmtId="0" xfId="0" applyBorder="1" applyFont="1"/>
    <xf borderId="5" fillId="3" fontId="2" numFmtId="0" xfId="0" applyAlignment="1" applyBorder="1" applyFont="1">
      <alignment vertical="bottom"/>
    </xf>
    <xf borderId="5" fillId="0" fontId="5" numFmtId="0" xfId="0" applyBorder="1" applyFont="1"/>
    <xf borderId="0" fillId="2" fontId="2" numFmtId="0" xfId="0" applyAlignment="1" applyFont="1">
      <alignment vertical="bottom"/>
    </xf>
    <xf borderId="6" fillId="0" fontId="5" numFmtId="0" xfId="0" applyBorder="1" applyFont="1"/>
    <xf borderId="2" fillId="0" fontId="5" numFmtId="0" xfId="0" applyBorder="1" applyFont="1"/>
    <xf borderId="7" fillId="4" fontId="6" numFmtId="0" xfId="0" applyAlignment="1" applyBorder="1" applyFill="1" applyFont="1">
      <alignment horizontal="center" shrinkToFit="0" vertical="center" wrapText="1"/>
    </xf>
    <xf borderId="0" fillId="4" fontId="7" numFmtId="0" xfId="0" applyFont="1"/>
    <xf borderId="4" fillId="4" fontId="2" numFmtId="0" xfId="0" applyAlignment="1" applyBorder="1" applyFont="1">
      <alignment vertical="top"/>
    </xf>
    <xf borderId="7" fillId="0" fontId="5" numFmtId="0" xfId="0" applyBorder="1" applyFont="1"/>
    <xf borderId="0" fillId="4" fontId="2" numFmtId="164" xfId="0" applyAlignment="1" applyFont="1" applyNumberFormat="1">
      <alignment horizontal="center" shrinkToFit="0" vertical="top" wrapText="1"/>
    </xf>
    <xf borderId="8" fillId="0" fontId="5" numFmtId="0" xfId="0" applyBorder="1" applyFont="1"/>
    <xf borderId="1" fillId="4" fontId="7" numFmtId="0" xfId="0" applyBorder="1" applyFont="1"/>
    <xf borderId="9" fillId="0" fontId="5" numFmtId="0" xfId="0" applyBorder="1" applyFont="1"/>
    <xf borderId="3" fillId="5" fontId="6" numFmtId="0" xfId="0" applyAlignment="1" applyBorder="1" applyFill="1" applyFont="1">
      <alignment horizontal="center" shrinkToFit="0" wrapText="1"/>
    </xf>
    <xf borderId="0" fillId="5" fontId="2" numFmtId="164" xfId="0" applyAlignment="1" applyFont="1" applyNumberFormat="1">
      <alignment horizontal="center" shrinkToFit="0" vertical="top" wrapText="1"/>
    </xf>
    <xf borderId="4" fillId="5" fontId="2" numFmtId="0" xfId="0" applyAlignment="1" applyBorder="1" applyFont="1">
      <alignment vertical="top"/>
    </xf>
    <xf borderId="10" fillId="0" fontId="5" numFmtId="0" xfId="0" applyBorder="1" applyFont="1"/>
    <xf borderId="0" fillId="3" fontId="8" numFmtId="0" xfId="0" applyAlignment="1" applyFont="1">
      <alignment readingOrder="0" shrinkToFit="0" vertical="bottom" wrapText="0"/>
    </xf>
    <xf borderId="0" fillId="3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3" fontId="3" numFmtId="164" xfId="0" applyAlignment="1" applyFont="1" applyNumberFormat="1">
      <alignment horizontal="right" vertical="bottom"/>
    </xf>
    <xf borderId="0" fillId="3" fontId="3" numFmtId="0" xfId="0" applyAlignment="1" applyFont="1">
      <alignment horizontal="center" readingOrder="0" vertical="bottom"/>
    </xf>
    <xf borderId="0" fillId="2" fontId="2" numFmtId="0" xfId="0" applyAlignment="1" applyFont="1">
      <alignment horizontal="right" vertical="bottom"/>
    </xf>
    <xf borderId="0" fillId="2" fontId="2" numFmtId="164" xfId="0" applyAlignment="1" applyFont="1" applyNumberFormat="1">
      <alignment vertical="bottom"/>
    </xf>
    <xf borderId="0" fillId="2" fontId="2" numFmtId="165" xfId="0" applyAlignment="1" applyFont="1" applyNumberFormat="1">
      <alignment horizontal="right" vertical="bottom"/>
    </xf>
    <xf borderId="0" fillId="2" fontId="9" numFmtId="2" xfId="0" applyAlignment="1" applyFont="1" applyNumberFormat="1">
      <alignment horizontal="right" vertical="bottom"/>
    </xf>
    <xf borderId="0" fillId="2" fontId="9" numFmtId="0" xfId="0" applyAlignment="1" applyFont="1">
      <alignment shrinkToFit="0" vertical="bottom" wrapText="0"/>
    </xf>
    <xf borderId="1" fillId="3" fontId="3" numFmtId="0" xfId="0" applyAlignment="1" applyBorder="1" applyFont="1">
      <alignment vertical="bottom"/>
    </xf>
    <xf borderId="1" fillId="3" fontId="3" numFmtId="164" xfId="0" applyAlignment="1" applyBorder="1" applyFont="1" applyNumberFormat="1">
      <alignment horizontal="right" vertical="bottom"/>
    </xf>
    <xf borderId="1" fillId="3" fontId="3" numFmtId="0" xfId="0" applyAlignment="1" applyBorder="1" applyFont="1">
      <alignment horizontal="center" readingOrder="0" vertical="bottom"/>
    </xf>
    <xf borderId="0" fillId="3" fontId="2" numFmtId="0" xfId="0" applyAlignment="1" applyFont="1">
      <alignment readingOrder="0" shrinkToFit="0" vertical="bottom" wrapText="0"/>
    </xf>
    <xf borderId="0" fillId="3" fontId="3" numFmtId="0" xfId="0" applyAlignment="1" applyFont="1">
      <alignment horizontal="right" readingOrder="0" vertical="bottom"/>
    </xf>
    <xf borderId="0" fillId="2" fontId="2" numFmtId="0" xfId="0" applyFont="1"/>
    <xf borderId="0" fillId="0" fontId="2" numFmtId="0" xfId="0" applyAlignment="1" applyFont="1">
      <alignment readingOrder="0" vertical="bottom"/>
    </xf>
    <xf borderId="0" fillId="2" fontId="9" numFmtId="0" xfId="0" applyAlignment="1" applyFont="1">
      <alignment vertical="bottom"/>
    </xf>
    <xf borderId="11" fillId="3" fontId="3" numFmtId="0" xfId="0" applyAlignment="1" applyBorder="1" applyFont="1">
      <alignment horizontal="right" readingOrder="0" vertical="bottom"/>
    </xf>
    <xf borderId="0" fillId="3" fontId="3" numFmtId="164" xfId="0" applyAlignment="1" applyFont="1" applyNumberFormat="1">
      <alignment horizontal="center" readingOrder="0" vertical="bottom"/>
    </xf>
    <xf borderId="0" fillId="3" fontId="3" numFmtId="0" xfId="0" applyAlignment="1" applyFont="1">
      <alignment horizontal="center" vertical="bottom"/>
    </xf>
    <xf borderId="0" fillId="3" fontId="2" numFmtId="164" xfId="0" applyAlignment="1" applyFont="1" applyNumberFormat="1">
      <alignment vertical="bottom"/>
    </xf>
    <xf borderId="0" fillId="4" fontId="2" numFmtId="0" xfId="0" applyAlignment="1" applyFont="1">
      <alignment readingOrder="0" shrinkToFit="0" vertical="bottom" wrapText="0"/>
    </xf>
    <xf borderId="0" fillId="4" fontId="2" numFmtId="0" xfId="0" applyAlignment="1" applyFont="1">
      <alignment vertical="bottom"/>
    </xf>
    <xf borderId="0" fillId="5" fontId="2" numFmtId="0" xfId="0" applyAlignment="1" applyFont="1">
      <alignment shrinkToFit="0" vertical="bottom" wrapText="0"/>
    </xf>
    <xf borderId="0" fillId="5" fontId="2" numFmtId="0" xfId="0" applyAlignment="1" applyFont="1">
      <alignment vertical="bottom"/>
    </xf>
    <xf borderId="1" fillId="0" fontId="10" numFmtId="164" xfId="0" applyAlignment="1" applyBorder="1" applyFont="1" applyNumberFormat="1">
      <alignment horizontal="right" readingOrder="0"/>
    </xf>
    <xf borderId="12" fillId="3" fontId="6" numFmtId="0" xfId="0" applyAlignment="1" applyBorder="1" applyFont="1">
      <alignment horizontal="center" shrinkToFit="0" wrapText="1"/>
    </xf>
    <xf borderId="12" fillId="0" fontId="5" numFmtId="0" xfId="0" applyBorder="1" applyFont="1"/>
    <xf borderId="0" fillId="3" fontId="2" numFmtId="164" xfId="0" applyAlignment="1" applyFont="1" applyNumberFormat="1">
      <alignment horizontal="center" shrinkToFit="0" wrapText="1"/>
    </xf>
    <xf borderId="13" fillId="0" fontId="5" numFmtId="0" xfId="0" applyBorder="1" applyFont="1"/>
    <xf borderId="1" fillId="3" fontId="3" numFmtId="0" xfId="0" applyAlignment="1" applyBorder="1" applyFont="1">
      <alignment horizontal="center" vertical="bottom"/>
    </xf>
    <xf borderId="9" fillId="3" fontId="2" numFmtId="0" xfId="0" applyAlignment="1" applyBorder="1" applyFont="1">
      <alignment vertical="top"/>
    </xf>
    <xf borderId="7" fillId="4" fontId="6" numFmtId="0" xfId="0" applyAlignment="1" applyBorder="1" applyFont="1">
      <alignment horizontal="center" shrinkToFit="0" wrapText="1"/>
    </xf>
    <xf borderId="1" fillId="4" fontId="2" numFmtId="164" xfId="0" applyAlignment="1" applyBorder="1" applyFont="1" applyNumberFormat="1">
      <alignment horizontal="center" shrinkToFit="0" vertical="top" wrapText="1"/>
    </xf>
    <xf borderId="2" fillId="4" fontId="2" numFmtId="0" xfId="0" applyAlignment="1" applyBorder="1" applyFont="1">
      <alignment vertical="top"/>
    </xf>
    <xf borderId="12" fillId="5" fontId="6" numFmtId="0" xfId="0" applyAlignment="1" applyBorder="1" applyFont="1">
      <alignment horizontal="center" shrinkToFit="0" wrapText="1"/>
    </xf>
    <xf borderId="0" fillId="5" fontId="11" numFmtId="164" xfId="0" applyAlignment="1" applyFont="1" applyNumberFormat="1">
      <alignment horizontal="center" shrinkToFit="0" vertical="top" wrapText="1"/>
    </xf>
    <xf borderId="14" fillId="0" fontId="5" numFmtId="0" xfId="0" applyBorder="1" applyFont="1"/>
    <xf borderId="1" fillId="5" fontId="2" numFmtId="164" xfId="0" applyAlignment="1" applyBorder="1" applyFont="1" applyNumberFormat="1">
      <alignment horizontal="center" shrinkToFit="0" vertical="top" wrapText="1"/>
    </xf>
    <xf borderId="0" fillId="2" fontId="12" numFmtId="0" xfId="0" applyAlignment="1" applyFont="1">
      <alignment readingOrder="0" shrinkToFit="0" vertical="bottom" wrapText="1"/>
    </xf>
    <xf borderId="1" fillId="3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readingOrder="0" vertical="bottom"/>
    </xf>
    <xf borderId="0" fillId="3" fontId="2" numFmtId="0" xfId="0" applyAlignment="1" applyFont="1">
      <alignment readingOrder="0" vertical="bottom"/>
    </xf>
    <xf borderId="0" fillId="3" fontId="2" numFmtId="164" xfId="0" applyAlignment="1" applyFont="1" applyNumberFormat="1">
      <alignment horizontal="right" vertical="bottom"/>
    </xf>
    <xf borderId="0" fillId="3" fontId="3" numFmtId="0" xfId="0" applyAlignment="1" applyFont="1">
      <alignment readingOrder="0" shrinkToFit="0" vertical="bottom" wrapText="1"/>
    </xf>
    <xf borderId="1" fillId="2" fontId="2" numFmtId="0" xfId="0" applyAlignment="1" applyBorder="1" applyFont="1">
      <alignment readingOrder="0" vertical="bottom"/>
    </xf>
    <xf borderId="0" fillId="6" fontId="2" numFmtId="0" xfId="0" applyAlignment="1" applyFill="1" applyFont="1">
      <alignment vertical="bottom"/>
    </xf>
    <xf borderId="1" fillId="3" fontId="3" numFmtId="2" xfId="0" applyAlignment="1" applyBorder="1" applyFont="1" applyNumberFormat="1">
      <alignment horizontal="right" vertical="bottom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1" fillId="4" fontId="13" numFmtId="0" xfId="0" applyAlignment="1" applyBorder="1" applyFont="1">
      <alignment vertical="bottom"/>
    </xf>
    <xf borderId="1" fillId="4" fontId="14" numFmtId="0" xfId="0" applyBorder="1" applyFont="1"/>
    <xf borderId="1" fillId="4" fontId="15" numFmtId="164" xfId="0" applyAlignment="1" applyBorder="1" applyFont="1" applyNumberFormat="1">
      <alignment horizontal="right" vertical="bottom"/>
    </xf>
    <xf borderId="0" fillId="4" fontId="3" numFmtId="0" xfId="0" applyAlignment="1" applyFont="1">
      <alignment readingOrder="0" vertical="bottom"/>
    </xf>
    <xf borderId="0" fillId="4" fontId="2" numFmtId="164" xfId="0" applyAlignment="1" applyFont="1" applyNumberFormat="1">
      <alignment horizontal="right" vertical="bottom"/>
    </xf>
    <xf borderId="0" fillId="4" fontId="3" numFmtId="0" xfId="0" applyAlignment="1" applyFont="1">
      <alignment readingOrder="0" shrinkToFit="0" vertical="bottom" wrapText="0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3" numFmtId="0" xfId="0" applyAlignment="1" applyFont="1">
      <alignment readingOrder="0" shrinkToFit="0" vertical="bottom" wrapText="0"/>
    </xf>
    <xf borderId="0" fillId="4" fontId="3" numFmtId="0" xfId="0" applyAlignment="1" applyFont="1">
      <alignment readingOrder="0" shrinkToFit="0" vertical="bottom" wrapText="1"/>
    </xf>
    <xf borderId="0" fillId="7" fontId="3" numFmtId="0" xfId="0" applyAlignment="1" applyFill="1" applyFont="1">
      <alignment vertical="bottom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right" vertical="bottom"/>
    </xf>
    <xf borderId="0" fillId="4" fontId="16" numFmtId="0" xfId="0" applyAlignment="1" applyFont="1">
      <alignment readingOrder="0"/>
    </xf>
    <xf borderId="0" fillId="4" fontId="7" numFmtId="0" xfId="0" applyAlignment="1" applyFont="1">
      <alignment horizontal="center" readingOrder="0"/>
    </xf>
    <xf borderId="0" fillId="4" fontId="2" numFmtId="0" xfId="0" applyAlignment="1" applyFont="1">
      <alignment horizontal="center" readingOrder="0" vertical="bottom"/>
    </xf>
    <xf borderId="0" fillId="0" fontId="17" numFmtId="0" xfId="0" applyAlignment="1" applyFont="1">
      <alignment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0" fillId="5" fontId="3" numFmtId="0" xfId="0" applyAlignment="1" applyFont="1">
      <alignment vertical="bottom"/>
    </xf>
    <xf borderId="0" fillId="5" fontId="16" numFmtId="0" xfId="0" applyAlignment="1" applyFont="1">
      <alignment readingOrder="0"/>
    </xf>
    <xf borderId="0" fillId="5" fontId="3" numFmtId="0" xfId="0" applyAlignment="1" applyFont="1">
      <alignment readingOrder="0" vertical="bottom"/>
    </xf>
    <xf borderId="0" fillId="5" fontId="2" numFmtId="164" xfId="0" applyAlignment="1" applyFont="1" applyNumberFormat="1">
      <alignment horizontal="right" vertical="bottom"/>
    </xf>
    <xf borderId="0" fillId="2" fontId="2" numFmtId="0" xfId="0" applyAlignment="1" applyFont="1">
      <alignment readingOrder="0"/>
    </xf>
    <xf borderId="0" fillId="6" fontId="7" numFmtId="0" xfId="0" applyFont="1"/>
    <xf borderId="0" fillId="5" fontId="2" numFmtId="0" xfId="0" applyAlignment="1" applyFont="1">
      <alignment shrinkToFit="0" vertical="bottom" wrapText="1"/>
    </xf>
    <xf borderId="0" fillId="5" fontId="18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3" fontId="2" numFmtId="0" xfId="0" applyAlignment="1" applyFont="1">
      <alignment horizontal="center" vertical="bottom"/>
    </xf>
    <xf borderId="1" fillId="3" fontId="2" numFmtId="0" xfId="0" applyAlignment="1" applyBorder="1" applyFont="1">
      <alignment vertical="bottom"/>
    </xf>
    <xf borderId="0" fillId="2" fontId="19" numFmtId="0" xfId="0" applyAlignment="1" applyFont="1">
      <alignment readingOrder="0" shrinkToFit="0" vertical="bottom" wrapText="1"/>
    </xf>
    <xf borderId="1" fillId="3" fontId="20" numFmtId="0" xfId="0" applyAlignment="1" applyBorder="1" applyFont="1">
      <alignment horizontal="left" readingOrder="0"/>
    </xf>
    <xf borderId="0" fillId="3" fontId="21" numFmtId="0" xfId="0" applyAlignment="1" applyFont="1">
      <alignment readingOrder="0" shrinkToFit="0" vertical="bottom" wrapText="1"/>
    </xf>
    <xf borderId="0" fillId="3" fontId="2" numFmtId="164" xfId="0" applyAlignment="1" applyFont="1" applyNumberFormat="1">
      <alignment horizontal="right" readingOrder="0" shrinkToFit="0" vertical="bottom" wrapText="1"/>
    </xf>
    <xf borderId="0" fillId="3" fontId="2" numFmtId="0" xfId="0" applyAlignment="1" applyFont="1">
      <alignment shrinkToFit="0" vertical="bottom" wrapText="1"/>
    </xf>
    <xf borderId="0" fillId="3" fontId="2" numFmtId="164" xfId="0" applyAlignment="1" applyFont="1" applyNumberForma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3" fontId="3" numFmtId="0" xfId="0" applyAlignment="1" applyFont="1">
      <alignment vertical="bottom"/>
    </xf>
    <xf borderId="0" fillId="3" fontId="7" numFmtId="0" xfId="0" applyFont="1"/>
    <xf borderId="0" fillId="4" fontId="3" numFmtId="164" xfId="0" applyAlignment="1" applyFont="1" applyNumberFormat="1">
      <alignment horizontal="right" vertical="bottom"/>
    </xf>
    <xf borderId="1" fillId="4" fontId="3" numFmtId="164" xfId="0" applyAlignment="1" applyBorder="1" applyFont="1" applyNumberFormat="1">
      <alignment horizontal="right" vertical="bottom"/>
    </xf>
    <xf borderId="1" fillId="4" fontId="16" numFmtId="0" xfId="0" applyAlignment="1" applyBorder="1" applyFont="1">
      <alignment readingOrder="0"/>
    </xf>
    <xf borderId="1" fillId="7" fontId="16" numFmtId="0" xfId="0" applyAlignment="1" applyBorder="1" applyFont="1">
      <alignment readingOrder="0"/>
    </xf>
    <xf borderId="1" fillId="4" fontId="3" numFmtId="0" xfId="0" applyAlignment="1" applyBorder="1" applyFont="1">
      <alignment readingOrder="0" vertical="bottom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right" vertical="bottom"/>
    </xf>
    <xf borderId="0" fillId="4" fontId="22" numFmtId="0" xfId="0" applyAlignment="1" applyFont="1">
      <alignment horizontal="left" readingOrder="0"/>
    </xf>
    <xf borderId="0" fillId="4" fontId="3" numFmtId="0" xfId="0" applyAlignment="1" applyFont="1">
      <alignment readingOrder="0" shrinkToFit="0" vertical="bottom" wrapText="1"/>
    </xf>
    <xf borderId="0" fillId="4" fontId="3" numFmtId="0" xfId="0" applyAlignment="1" applyFont="1">
      <alignment readingOrder="0" shrinkToFit="0" vertical="center" wrapText="1"/>
    </xf>
    <xf borderId="0" fillId="5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5" fontId="23" numFmtId="0" xfId="0" applyAlignment="1" applyFont="1">
      <alignment vertical="bottom"/>
    </xf>
    <xf borderId="0" fillId="5" fontId="23" numFmtId="164" xfId="0" applyAlignment="1" applyFont="1" applyNumberFormat="1">
      <alignment horizontal="right" vertical="bottom"/>
    </xf>
    <xf borderId="0" fillId="0" fontId="2" numFmtId="0" xfId="0" applyFont="1"/>
    <xf borderId="0" fillId="5" fontId="2" numFmtId="164" xfId="0" applyAlignment="1" applyFont="1" applyNumberFormat="1">
      <alignment vertical="bottom"/>
    </xf>
    <xf borderId="0" fillId="5" fontId="3" numFmtId="0" xfId="0" applyAlignment="1" applyFont="1">
      <alignment shrinkToFit="0" vertical="bottom" wrapText="1"/>
    </xf>
    <xf borderId="0" fillId="0" fontId="2" numFmtId="0" xfId="0" applyAlignment="1" applyFont="1">
      <alignment vertical="top"/>
    </xf>
    <xf borderId="0" fillId="0" fontId="2" numFmtId="164" xfId="0" applyFont="1" applyNumberFormat="1"/>
    <xf borderId="0" fillId="0" fontId="2" numFmtId="164" xfId="0" applyAlignment="1" applyFont="1" applyNumberFormat="1">
      <alignment horizontal="center" readingOrder="0"/>
    </xf>
    <xf borderId="0" fillId="3" fontId="3" numFmtId="164" xfId="0" applyAlignment="1" applyFont="1" applyNumberFormat="1">
      <alignment horizontal="center" shrinkToFit="0" wrapText="1"/>
    </xf>
    <xf borderId="15" fillId="3" fontId="2" numFmtId="0" xfId="0" applyAlignment="1" applyBorder="1" applyFont="1">
      <alignment vertical="bottom"/>
    </xf>
    <xf borderId="1" fillId="3" fontId="7" numFmtId="0" xfId="0" applyBorder="1" applyFont="1"/>
    <xf borderId="16" fillId="3" fontId="2" numFmtId="0" xfId="0" applyAlignment="1" applyBorder="1" applyFont="1">
      <alignment vertical="top"/>
    </xf>
    <xf borderId="1" fillId="7" fontId="7" numFmtId="0" xfId="0" applyBorder="1" applyFont="1"/>
    <xf borderId="14" fillId="5" fontId="6" numFmtId="0" xfId="0" applyAlignment="1" applyBorder="1" applyFont="1">
      <alignment horizontal="center" shrinkToFit="0" wrapText="1"/>
    </xf>
    <xf borderId="1" fillId="5" fontId="11" numFmtId="164" xfId="0" applyAlignment="1" applyBorder="1" applyFont="1" applyNumberFormat="1">
      <alignment horizontal="center" shrinkToFit="0" vertical="top" wrapText="1"/>
    </xf>
    <xf borderId="2" fillId="5" fontId="2" numFmtId="0" xfId="0" applyAlignment="1" applyBorder="1" applyFont="1">
      <alignment vertical="top"/>
    </xf>
    <xf borderId="1" fillId="4" fontId="10" numFmtId="0" xfId="0" applyAlignment="1" applyBorder="1" applyFont="1">
      <alignment horizontal="center" vertical="bottom"/>
    </xf>
    <xf borderId="1" fillId="4" fontId="2" numFmtId="0" xfId="0" applyAlignment="1" applyBorder="1" applyFont="1">
      <alignment vertical="bottom"/>
    </xf>
    <xf borderId="1" fillId="4" fontId="3" numFmtId="0" xfId="0" applyAlignment="1" applyBorder="1" applyFont="1">
      <alignment horizontal="center" readingOrder="0" vertical="bottom"/>
    </xf>
    <xf borderId="0" fillId="4" fontId="24" numFmtId="0" xfId="0" applyAlignment="1" applyFont="1">
      <alignment vertical="bottom"/>
    </xf>
    <xf borderId="0" fillId="4" fontId="24" numFmtId="164" xfId="0" applyAlignment="1" applyFont="1" applyNumberFormat="1">
      <alignment horizontal="right" vertical="bottom"/>
    </xf>
    <xf borderId="0" fillId="2" fontId="2" numFmtId="0" xfId="0" applyAlignment="1" applyFont="1">
      <alignment readingOrder="0" vertical="bottom"/>
    </xf>
    <xf borderId="0" fillId="2" fontId="24" numFmtId="0" xfId="0" applyAlignment="1" applyFont="1">
      <alignment readingOrder="0" vertical="bottom"/>
    </xf>
    <xf borderId="0" fillId="2" fontId="24" numFmtId="164" xfId="0" applyAlignment="1" applyFont="1" applyNumberFormat="1">
      <alignment horizontal="right" vertical="bottom"/>
    </xf>
    <xf borderId="0" fillId="2" fontId="2" numFmtId="164" xfId="0" applyAlignment="1" applyFont="1" applyNumberFormat="1">
      <alignment horizontal="right" vertical="bottom"/>
    </xf>
    <xf borderId="0" fillId="2" fontId="2" numFmtId="166" xfId="0" applyAlignment="1" applyFont="1" applyNumberFormat="1">
      <alignment horizontal="right" vertical="bottom"/>
    </xf>
    <xf borderId="0" fillId="2" fontId="9" numFmtId="166" xfId="0" applyAlignment="1" applyFont="1" applyNumberFormat="1">
      <alignment horizontal="right" vertical="bottom"/>
    </xf>
    <xf borderId="0" fillId="4" fontId="10" numFmtId="0" xfId="0" applyAlignment="1" applyFont="1">
      <alignment vertical="bottom"/>
    </xf>
    <xf borderId="0" fillId="2" fontId="24" numFmtId="0" xfId="0" applyAlignment="1" applyFont="1">
      <alignment vertical="bottom"/>
    </xf>
    <xf borderId="1" fillId="3" fontId="10" numFmtId="0" xfId="0" applyAlignment="1" applyBorder="1" applyFont="1">
      <alignment vertical="bottom"/>
    </xf>
    <xf borderId="1" fillId="3" fontId="10" numFmtId="164" xfId="0" applyAlignment="1" applyBorder="1" applyFont="1" applyNumberFormat="1">
      <alignment horizontal="right" vertical="bottom"/>
    </xf>
    <xf borderId="0" fillId="3" fontId="24" numFmtId="0" xfId="0" applyAlignment="1" applyFont="1">
      <alignment vertical="bottom"/>
    </xf>
    <xf borderId="0" fillId="3" fontId="24" numFmtId="164" xfId="0" applyAlignment="1" applyFont="1" applyNumberFormat="1">
      <alignment horizontal="right" vertical="bottom"/>
    </xf>
    <xf borderId="0" fillId="3" fontId="24" numFmtId="0" xfId="0" applyAlignment="1" applyFont="1">
      <alignment readingOrder="0" shrinkToFit="0" vertical="bottom" wrapText="1"/>
    </xf>
    <xf borderId="0" fillId="2" fontId="2" numFmtId="166" xfId="0" applyAlignment="1" applyFont="1" applyNumberFormat="1">
      <alignment vertical="bottom"/>
    </xf>
    <xf borderId="0" fillId="0" fontId="10" numFmtId="0" xfId="0" applyAlignment="1" applyFont="1">
      <alignment shrinkToFit="0" vertical="bottom" wrapText="0"/>
    </xf>
    <xf borderId="1" fillId="5" fontId="10" numFmtId="0" xfId="0" applyAlignment="1" applyBorder="1" applyFont="1">
      <alignment vertical="bottom"/>
    </xf>
    <xf borderId="1" fillId="5" fontId="10" numFmtId="164" xfId="0" applyAlignment="1" applyBorder="1" applyFont="1" applyNumberFormat="1">
      <alignment vertical="bottom"/>
    </xf>
    <xf borderId="0" fillId="5" fontId="3" numFmtId="0" xfId="0" applyAlignment="1" applyFont="1">
      <alignment horizontal="left" readingOrder="0" vertical="bottom"/>
    </xf>
    <xf borderId="0" fillId="5" fontId="3" numFmtId="0" xfId="0" applyAlignment="1" applyFont="1">
      <alignment horizontal="left" vertical="bottom"/>
    </xf>
    <xf borderId="0" fillId="5" fontId="24" numFmtId="0" xfId="0" applyAlignment="1" applyFont="1">
      <alignment vertical="bottom"/>
    </xf>
    <xf borderId="0" fillId="5" fontId="24" numFmtId="164" xfId="0" applyAlignment="1" applyFont="1" applyNumberFormat="1">
      <alignment horizontal="right" vertical="bottom"/>
    </xf>
    <xf borderId="0" fillId="5" fontId="3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right" shrinkToFit="0" vertical="bottom" wrapText="1"/>
    </xf>
    <xf borderId="0" fillId="3" fontId="3" numFmtId="0" xfId="0" applyAlignment="1" applyFont="1">
      <alignment shrinkToFit="0" vertical="bottom" wrapText="1"/>
    </xf>
    <xf borderId="1" fillId="3" fontId="3" numFmtId="0" xfId="0" applyAlignment="1" applyBorder="1" applyFont="1">
      <alignment shrinkToFit="0" vertical="bottom" wrapText="1"/>
    </xf>
    <xf borderId="1" fillId="3" fontId="3" numFmtId="164" xfId="0" applyAlignment="1" applyBorder="1" applyFont="1" applyNumberFormat="1">
      <alignment horizontal="right" shrinkToFit="0" vertical="bottom" wrapText="1"/>
    </xf>
    <xf borderId="0" fillId="0" fontId="2" numFmtId="164" xfId="0" applyAlignment="1" applyFont="1" applyNumberFormat="1">
      <alignment horizontal="right" readingOrder="0"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horizontal="right" vertical="bottom"/>
    </xf>
    <xf borderId="0" fillId="0" fontId="11" numFmtId="0" xfId="0" applyAlignment="1" applyFont="1">
      <alignment horizontal="right" readingOrder="0"/>
    </xf>
    <xf borderId="0" fillId="3" fontId="7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0" fillId="0" fontId="2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1" fillId="4" fontId="3" numFmtId="0" xfId="0" applyAlignment="1" applyBorder="1" applyFont="1">
      <alignment horizontal="center" readingOrder="0" vertical="bottom"/>
    </xf>
    <xf borderId="0" fillId="4" fontId="11" numFmtId="0" xfId="0" applyAlignment="1" applyFont="1">
      <alignment horizontal="left" readingOrder="0"/>
    </xf>
    <xf borderId="0" fillId="4" fontId="3" numFmtId="0" xfId="0" applyAlignment="1" applyFont="1">
      <alignment vertical="bottom"/>
    </xf>
    <xf borderId="0" fillId="4" fontId="11" numFmtId="0" xfId="0" applyAlignment="1" applyFont="1">
      <alignment horizontal="right" readingOrder="0"/>
    </xf>
    <xf borderId="0" fillId="6" fontId="3" numFmtId="0" xfId="0" applyAlignment="1" applyFont="1">
      <alignment vertical="bottom"/>
    </xf>
    <xf borderId="0" fillId="0" fontId="23" numFmtId="0" xfId="0" applyAlignment="1" applyFont="1">
      <alignment readingOrder="0" shrinkToFit="0" vertical="bottom" wrapText="0"/>
    </xf>
    <xf borderId="1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0" fillId="5" fontId="2" numFmtId="0" xfId="0" applyFont="1"/>
    <xf borderId="0" fillId="0" fontId="1" numFmtId="0" xfId="0" applyAlignment="1" applyFont="1">
      <alignment horizontal="center" vertical="bottom"/>
    </xf>
    <xf borderId="17" fillId="3" fontId="6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readingOrder="0"/>
    </xf>
    <xf borderId="0" fillId="2" fontId="7" numFmtId="0" xfId="0" applyFont="1"/>
    <xf borderId="0" fillId="2" fontId="2" numFmtId="0" xfId="0" applyAlignment="1" applyFont="1">
      <alignment shrinkToFit="0" vertical="bottom" wrapText="1"/>
    </xf>
    <xf borderId="0" fillId="2" fontId="2" numFmtId="164" xfId="0" applyAlignment="1" applyFont="1" applyNumberFormat="1">
      <alignment horizontal="right" shrinkToFit="0" vertical="bottom" wrapText="1"/>
    </xf>
    <xf borderId="0" fillId="2" fontId="2" numFmtId="167" xfId="0" applyAlignment="1" applyFont="1" applyNumberFormat="1">
      <alignment horizontal="right" vertical="bottom"/>
    </xf>
    <xf borderId="0" fillId="2" fontId="9" numFmtId="0" xfId="0" applyAlignment="1" applyFont="1">
      <alignment horizontal="right" vertical="bottom"/>
    </xf>
    <xf borderId="0" fillId="2" fontId="24" numFmtId="0" xfId="0" applyAlignment="1" applyFont="1">
      <alignment shrinkToFit="0" vertical="bottom" wrapText="1"/>
    </xf>
    <xf borderId="0" fillId="5" fontId="2" numFmtId="164" xfId="0" applyAlignment="1" applyFont="1" applyNumberFormat="1">
      <alignment horizontal="center" shrinkToFit="0" vertical="center" wrapText="1"/>
    </xf>
    <xf borderId="0" fillId="2" fontId="22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bottom" wrapText="1"/>
    </xf>
    <xf borderId="0" fillId="0" fontId="17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3" numFmtId="164" xfId="0" applyAlignment="1" applyFont="1" applyNumberFormat="1">
      <alignment horizontal="right" readingOrder="0" shrinkToFit="0" vertical="bottom" wrapText="1"/>
    </xf>
    <xf borderId="0" fillId="3" fontId="22" numFmtId="0" xfId="0" applyAlignment="1" applyFont="1">
      <alignment horizontal="left" readingOrder="0"/>
    </xf>
    <xf borderId="0" fillId="3" fontId="3" numFmtId="164" xfId="0" applyAlignment="1" applyFont="1" applyNumberFormat="1">
      <alignment readingOrder="0"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2" fontId="17" numFmtId="0" xfId="0" applyAlignment="1" applyFont="1">
      <alignment readingOrder="0" shrinkToFit="0" vertical="bottom" wrapText="0"/>
    </xf>
    <xf borderId="0" fillId="3" fontId="2" numFmtId="0" xfId="0" applyAlignment="1" applyFont="1">
      <alignment shrinkToFit="0" vertical="bottom" wrapText="0"/>
    </xf>
    <xf borderId="0" fillId="3" fontId="2" numFmtId="164" xfId="0" applyAlignment="1" applyFont="1" applyNumberForma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4" fontId="2" numFmtId="0" xfId="0" applyAlignment="1" applyFont="1">
      <alignment shrinkToFit="0" vertical="bottom" wrapText="0"/>
    </xf>
    <xf borderId="0" fillId="4" fontId="2" numFmtId="0" xfId="0" applyAlignment="1" applyFont="1">
      <alignment readingOrder="0" shrinkToFit="0" vertical="bottom" wrapText="1"/>
    </xf>
    <xf borderId="0" fillId="4" fontId="2" numFmtId="164" xfId="0" applyAlignment="1" applyFont="1" applyNumberFormat="1">
      <alignment vertical="bottom"/>
    </xf>
    <xf borderId="0" fillId="2" fontId="2" numFmtId="0" xfId="0" applyAlignment="1" applyFont="1">
      <alignment readingOrder="0" shrinkToFit="0" vertical="bottom" wrapText="0"/>
    </xf>
    <xf borderId="0" fillId="3" fontId="2" numFmtId="0" xfId="0" applyFont="1"/>
    <xf borderId="0" fillId="6" fontId="3" numFmtId="0" xfId="0" applyAlignment="1" applyFont="1">
      <alignment readingOrder="0" shrinkToFit="0" vertical="bottom" wrapText="0"/>
    </xf>
    <xf borderId="0" fillId="6" fontId="2" numFmtId="164" xfId="0" applyAlignment="1" applyFont="1" applyNumberFormat="1">
      <alignment vertical="bottom"/>
    </xf>
    <xf borderId="0" fillId="0" fontId="16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shrinkToFit="0" wrapText="1"/>
    </xf>
    <xf borderId="18" fillId="0" fontId="3" numFmtId="0" xfId="0" applyAlignment="1" applyBorder="1" applyFont="1">
      <alignment shrinkToFit="0" vertical="top" wrapText="1"/>
    </xf>
    <xf borderId="19" fillId="0" fontId="4" numFmtId="164" xfId="0" applyAlignment="1" applyBorder="1" applyFont="1" applyNumberFormat="1">
      <alignment horizontal="center" shrinkToFit="0" wrapText="1"/>
    </xf>
    <xf borderId="20" fillId="0" fontId="5" numFmtId="0" xfId="0" applyBorder="1" applyFont="1"/>
    <xf borderId="18" fillId="0" fontId="4" numFmtId="0" xfId="0" applyAlignment="1" applyBorder="1" applyFont="1">
      <alignment horizontal="center" shrinkToFit="0" wrapText="1"/>
    </xf>
    <xf borderId="21" fillId="3" fontId="6" numFmtId="0" xfId="0" applyAlignment="1" applyBorder="1" applyFont="1">
      <alignment horizontal="center" shrinkToFit="0" wrapText="1"/>
    </xf>
    <xf borderId="22" fillId="3" fontId="2" numFmtId="164" xfId="0" applyAlignment="1" applyBorder="1" applyFont="1" applyNumberFormat="1">
      <alignment horizontal="center" shrinkToFit="0" vertical="top" wrapText="1"/>
    </xf>
    <xf borderId="23" fillId="0" fontId="5" numFmtId="0" xfId="0" applyBorder="1" applyFont="1"/>
    <xf borderId="21" fillId="0" fontId="5" numFmtId="0" xfId="0" applyBorder="1" applyFont="1"/>
    <xf borderId="24" fillId="3" fontId="2" numFmtId="0" xfId="0" applyAlignment="1" applyBorder="1" applyFont="1">
      <alignment horizontal="center" vertical="bottom"/>
    </xf>
    <xf borderId="25" fillId="0" fontId="5" numFmtId="0" xfId="0" applyBorder="1" applyFont="1"/>
    <xf borderId="26" fillId="3" fontId="2" numFmtId="164" xfId="0" applyAlignment="1" applyBorder="1" applyFont="1" applyNumberFormat="1">
      <alignment horizontal="center" shrinkToFit="0" wrapText="1"/>
    </xf>
    <xf borderId="22" fillId="4" fontId="2" numFmtId="164" xfId="0" applyAlignment="1" applyBorder="1" applyFont="1" applyNumberFormat="1">
      <alignment horizontal="center" shrinkToFit="0" vertical="top" wrapText="1"/>
    </xf>
    <xf borderId="24" fillId="4" fontId="2" numFmtId="164" xfId="0" applyAlignment="1" applyBorder="1" applyFont="1" applyNumberFormat="1">
      <alignment horizontal="center" shrinkToFit="0" vertical="top" wrapText="1"/>
    </xf>
    <xf borderId="26" fillId="4" fontId="2" numFmtId="164" xfId="0" applyAlignment="1" applyBorder="1" applyFont="1" applyNumberFormat="1">
      <alignment horizontal="center" shrinkToFit="0" vertical="top" wrapText="1"/>
    </xf>
    <xf borderId="21" fillId="5" fontId="6" numFmtId="0" xfId="0" applyAlignment="1" applyBorder="1" applyFont="1">
      <alignment horizontal="center" shrinkToFit="0" wrapText="1"/>
    </xf>
    <xf borderId="22" fillId="5" fontId="11" numFmtId="164" xfId="0" applyAlignment="1" applyBorder="1" applyFont="1" applyNumberFormat="1">
      <alignment horizontal="center" shrinkToFit="0" vertical="top" wrapText="1"/>
    </xf>
    <xf borderId="27" fillId="0" fontId="5" numFmtId="0" xfId="0" applyBorder="1" applyFont="1"/>
    <xf borderId="26" fillId="5" fontId="2" numFmtId="0" xfId="0" applyAlignment="1" applyBorder="1" applyFont="1">
      <alignment horizontal="center" vertical="bottom"/>
    </xf>
    <xf borderId="0" fillId="6" fontId="2" numFmtId="0" xfId="0" applyAlignment="1" applyFont="1">
      <alignment readingOrder="0" shrinkToFit="0" vertical="bottom" wrapText="0"/>
    </xf>
    <xf borderId="0" fillId="6" fontId="2" numFmtId="0" xfId="0" applyFont="1"/>
    <xf borderId="1" fillId="6" fontId="3" numFmtId="0" xfId="0" applyAlignment="1" applyBorder="1" applyFont="1">
      <alignment readingOrder="0" shrinkToFit="0" vertical="bottom" wrapText="0"/>
    </xf>
    <xf borderId="1" fillId="6" fontId="3" numFmtId="0" xfId="0" applyAlignment="1" applyBorder="1" applyFont="1">
      <alignment vertical="bottom"/>
    </xf>
    <xf borderId="1" fillId="6" fontId="3" numFmtId="0" xfId="0" applyAlignment="1" applyBorder="1" applyFont="1">
      <alignment horizontal="right" readingOrder="0" vertical="bottom"/>
    </xf>
    <xf borderId="1" fillId="6" fontId="3" numFmtId="0" xfId="0" applyAlignment="1" applyBorder="1" applyFont="1">
      <alignment readingOrder="0" vertical="bottom"/>
    </xf>
    <xf borderId="0" fillId="6" fontId="7" numFmtId="0" xfId="0" applyAlignment="1" applyFont="1">
      <alignment readingOrder="0"/>
    </xf>
    <xf borderId="0" fillId="3" fontId="2" numFmtId="0" xfId="0" applyAlignment="1" applyFont="1">
      <alignment readingOrder="0"/>
    </xf>
    <xf borderId="0" fillId="6" fontId="3" numFmtId="0" xfId="0" applyAlignment="1" applyFont="1">
      <alignment readingOrder="0" shrinkToFit="0" vertical="bottom" wrapText="0"/>
    </xf>
    <xf borderId="1" fillId="3" fontId="3" numFmtId="2" xfId="0" applyAlignment="1" applyBorder="1" applyFont="1" applyNumberFormat="1">
      <alignment horizontal="center" vertical="bottom"/>
    </xf>
    <xf borderId="8" fillId="3" fontId="2" numFmtId="0" xfId="0" applyAlignment="1" applyBorder="1" applyFont="1">
      <alignment vertical="bottom"/>
    </xf>
    <xf borderId="2" fillId="3" fontId="2" numFmtId="2" xfId="0" applyAlignment="1" applyBorder="1" applyFont="1" applyNumberFormat="1">
      <alignment horizontal="right" readingOrder="0" vertical="bottom"/>
    </xf>
    <xf borderId="0" fillId="3" fontId="3" numFmtId="0" xfId="0" applyAlignment="1" applyFont="1">
      <alignment readingOrder="0" shrinkToFit="0" vertical="bottom" wrapText="1"/>
    </xf>
    <xf borderId="0" fillId="4" fontId="24" numFmtId="0" xfId="0" applyAlignment="1" applyFont="1">
      <alignment shrinkToFit="0" vertical="bottom" wrapText="0"/>
    </xf>
    <xf borderId="0" fillId="4" fontId="2" numFmtId="0" xfId="0" applyFont="1"/>
    <xf borderId="0" fillId="5" fontId="24" numFmtId="0" xfId="0" applyAlignment="1" applyFont="1">
      <alignment readingOrder="0" shrinkToFit="0" vertical="bottom" wrapText="1"/>
    </xf>
    <xf borderId="0" fillId="0" fontId="25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vertical="bottom"/>
    </xf>
    <xf borderId="0" fillId="2" fontId="3" numFmtId="164" xfId="0" applyAlignment="1" applyFont="1" applyNumberFormat="1">
      <alignment shrinkToFit="0" vertical="bottom" wrapText="0"/>
    </xf>
    <xf borderId="1" fillId="0" fontId="2" numFmtId="164" xfId="0" applyAlignment="1" applyBorder="1" applyFont="1" applyNumberFormat="1">
      <alignment vertical="bottom"/>
    </xf>
    <xf borderId="8" fillId="0" fontId="3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7" fillId="3" fontId="6" numFmtId="0" xfId="0" applyAlignment="1" applyBorder="1" applyFont="1">
      <alignment horizontal="center" shrinkToFit="0" vertical="bottom" wrapText="1"/>
    </xf>
    <xf borderId="4" fillId="3" fontId="2" numFmtId="0" xfId="0" applyAlignment="1" applyBorder="1" applyFont="1">
      <alignment vertical="top"/>
    </xf>
    <xf borderId="7" fillId="4" fontId="6" numFmtId="0" xfId="0" applyAlignment="1" applyBorder="1" applyFont="1">
      <alignment horizontal="center" shrinkToFit="0" vertical="bottom" wrapText="1"/>
    </xf>
    <xf borderId="7" fillId="8" fontId="6" numFmtId="0" xfId="0" applyAlignment="1" applyBorder="1" applyFill="1" applyFont="1">
      <alignment horizontal="center" shrinkToFit="0" vertical="bottom" wrapText="1"/>
    </xf>
    <xf borderId="0" fillId="8" fontId="2" numFmtId="164" xfId="0" applyAlignment="1" applyFont="1" applyNumberFormat="1">
      <alignment horizontal="center" shrinkToFit="0" vertical="top" wrapText="1"/>
    </xf>
    <xf borderId="4" fillId="8" fontId="2" numFmtId="0" xfId="0" applyAlignment="1" applyBorder="1" applyFont="1">
      <alignment vertical="top"/>
    </xf>
    <xf borderId="1" fillId="8" fontId="2" numFmtId="164" xfId="0" applyAlignment="1" applyBorder="1" applyFont="1" applyNumberFormat="1">
      <alignment horizontal="center" shrinkToFit="0" vertical="top" wrapText="1"/>
    </xf>
    <xf borderId="7" fillId="5" fontId="6" numFmtId="0" xfId="0" applyAlignment="1" applyBorder="1" applyFont="1">
      <alignment horizontal="center" shrinkToFit="0" vertical="bottom" wrapText="1"/>
    </xf>
    <xf borderId="1" fillId="5" fontId="2" numFmtId="0" xfId="0" applyAlignment="1" applyBorder="1" applyFont="1">
      <alignment horizontal="center" vertical="bottom"/>
    </xf>
    <xf borderId="0" fillId="3" fontId="26" numFmtId="0" xfId="0" applyAlignment="1" applyFont="1">
      <alignment vertical="bottom"/>
    </xf>
    <xf borderId="0" fillId="3" fontId="27" numFmtId="0" xfId="0" applyAlignment="1" applyFont="1">
      <alignment horizontal="right" vertical="bottom"/>
    </xf>
    <xf borderId="0" fillId="3" fontId="2" numFmtId="164" xfId="0" applyAlignment="1" applyFont="1" applyNumberFormat="1">
      <alignment horizontal="right" readingOrder="0"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2" fontId="2" numFmtId="0" xfId="0" applyAlignment="1" applyFont="1">
      <alignment readingOrder="0" shrinkToFit="0" vertical="bottom" wrapText="1"/>
    </xf>
    <xf borderId="0" fillId="2" fontId="3" numFmtId="0" xfId="0" applyAlignment="1" applyFont="1">
      <alignment horizontal="right" vertical="bottom"/>
    </xf>
    <xf borderId="0" fillId="3" fontId="23" numFmtId="0" xfId="0" applyAlignment="1" applyFont="1">
      <alignment vertical="bottom"/>
    </xf>
    <xf borderId="0" fillId="3" fontId="23" numFmtId="164" xfId="0" applyAlignment="1" applyFont="1" applyNumberFormat="1">
      <alignment horizontal="right" vertical="bottom"/>
    </xf>
    <xf borderId="1" fillId="3" fontId="2" numFmtId="164" xfId="0" applyAlignment="1" applyBorder="1" applyFont="1" applyNumberFormat="1">
      <alignment vertical="bottom"/>
    </xf>
    <xf borderId="0" fillId="2" fontId="2" numFmtId="0" xfId="0" applyAlignment="1" applyFont="1">
      <alignment shrinkToFit="0" vertical="bottom" wrapText="0"/>
    </xf>
    <xf borderId="0" fillId="4" fontId="2" numFmtId="0" xfId="0" applyAlignment="1" applyFont="1">
      <alignment readingOrder="0" vertical="bottom"/>
    </xf>
    <xf borderId="0" fillId="6" fontId="2" numFmtId="0" xfId="0" applyAlignment="1" applyFont="1">
      <alignment readingOrder="0" shrinkToFit="0" vertical="bottom" wrapText="1"/>
    </xf>
    <xf borderId="0" fillId="2" fontId="11" numFmtId="0" xfId="0" applyAlignment="1" applyFont="1">
      <alignment horizontal="left" readingOrder="0" shrinkToFit="0" wrapText="1"/>
    </xf>
    <xf borderId="0" fillId="6" fontId="2" numFmtId="0" xfId="0" applyAlignment="1" applyFont="1">
      <alignment readingOrder="0" shrinkToFit="0" vertical="bottom" wrapText="0"/>
    </xf>
    <xf borderId="1" fillId="8" fontId="3" numFmtId="0" xfId="0" applyAlignment="1" applyBorder="1" applyFont="1">
      <alignment vertical="bottom"/>
    </xf>
    <xf borderId="1" fillId="8" fontId="20" numFmtId="0" xfId="0" applyAlignment="1" applyBorder="1" applyFont="1">
      <alignment horizontal="right" readingOrder="0"/>
    </xf>
    <xf borderId="1" fillId="8" fontId="2" numFmtId="0" xfId="0" applyAlignment="1" applyBorder="1" applyFont="1">
      <alignment horizontal="left" readingOrder="0" vertical="bottom"/>
    </xf>
    <xf borderId="1" fillId="8" fontId="2" numFmtId="0" xfId="0" applyAlignment="1" applyBorder="1" applyFont="1">
      <alignment readingOrder="0" vertical="bottom"/>
    </xf>
    <xf borderId="0" fillId="8" fontId="2" numFmtId="0" xfId="0" applyAlignment="1" applyFont="1">
      <alignment vertical="bottom"/>
    </xf>
    <xf borderId="0" fillId="0" fontId="16" numFmtId="0" xfId="0" applyAlignment="1" applyFont="1">
      <alignment horizontal="right" readingOrder="0"/>
    </xf>
    <xf borderId="0" fillId="8" fontId="2" numFmtId="164" xfId="0" applyAlignment="1" applyFont="1" applyNumberFormat="1">
      <alignment horizontal="right" vertical="bottom"/>
    </xf>
    <xf borderId="0" fillId="8" fontId="3" numFmtId="0" xfId="0" applyAlignment="1" applyFont="1">
      <alignment readingOrder="0" shrinkToFit="0" vertical="bottom" wrapText="0"/>
    </xf>
    <xf borderId="0" fillId="8" fontId="2" numFmtId="164" xfId="0" applyAlignment="1" applyFont="1" applyNumberFormat="1">
      <alignment vertical="bottom"/>
    </xf>
    <xf borderId="0" fillId="8" fontId="2" numFmtId="0" xfId="0" applyAlignment="1" applyFont="1">
      <alignment shrinkToFit="0" vertical="bottom" wrapText="0"/>
    </xf>
    <xf borderId="0" fillId="8" fontId="3" numFmtId="0" xfId="0" applyAlignment="1" applyFont="1">
      <alignment shrinkToFit="0" vertical="bottom" wrapText="0"/>
    </xf>
    <xf borderId="0" fillId="8" fontId="3" numFmtId="0" xfId="0" applyAlignment="1" applyFont="1">
      <alignment readingOrder="0" shrinkToFit="0" vertical="bottom" wrapText="0"/>
    </xf>
    <xf borderId="0" fillId="5" fontId="2" numFmtId="0" xfId="0" applyAlignment="1" applyFont="1">
      <alignment readingOrder="0" shrinkToFit="0" vertical="bottom" wrapText="1"/>
    </xf>
    <xf borderId="0" fillId="5" fontId="28" numFmtId="0" xfId="0" applyAlignment="1" applyFont="1">
      <alignment horizontal="left" readingOrder="0" shrinkToFit="0" wrapText="1"/>
    </xf>
    <xf borderId="0" fillId="0" fontId="29" numFmtId="0" xfId="0" applyAlignment="1" applyFont="1">
      <alignment horizontal="center" readingOrder="0" vertical="bottom"/>
    </xf>
    <xf borderId="0" fillId="0" fontId="3" numFmtId="0" xfId="0" applyAlignment="1" applyFont="1">
      <alignment shrinkToFit="0" vertical="bottom" wrapText="0"/>
    </xf>
    <xf borderId="0" fillId="3" fontId="3" numFmtId="0" xfId="0" applyAlignment="1" applyFont="1">
      <alignment horizontal="right" vertical="bottom"/>
    </xf>
    <xf borderId="0" fillId="3" fontId="2" numFmtId="2" xfId="0" applyAlignment="1" applyFont="1" applyNumberFormat="1">
      <alignment horizontal="right" readingOrder="0" vertical="bottom"/>
    </xf>
    <xf borderId="0" fillId="3" fontId="2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4" fontId="3" numFmtId="0" xfId="0" applyAlignment="1" applyFont="1">
      <alignment horizontal="center" vertical="bottom"/>
    </xf>
    <xf borderId="0" fillId="4" fontId="2" numFmtId="164" xfId="0" applyAlignment="1" applyFont="1" applyNumberFormat="1">
      <alignment readingOrder="0" vertical="bottom"/>
    </xf>
    <xf borderId="0" fillId="4" fontId="2" numFmtId="164" xfId="0" applyAlignment="1" applyFont="1" applyNumberFormat="1">
      <alignment horizontal="right" readingOrder="0" vertical="bottom"/>
    </xf>
    <xf borderId="0" fillId="2" fontId="2" numFmtId="164" xfId="0" applyAlignment="1" applyFont="1" applyNumberFormat="1">
      <alignment horizontal="right" readingOrder="0" vertical="bottom"/>
    </xf>
    <xf borderId="0" fillId="2" fontId="2" numFmtId="164" xfId="0" applyAlignment="1" applyFont="1" applyNumberFormat="1">
      <alignment readingOrder="0" vertical="bottom"/>
    </xf>
    <xf borderId="0" fillId="8" fontId="2" numFmtId="0" xfId="0" applyAlignment="1" applyFont="1">
      <alignment readingOrder="0" shrinkToFit="0" vertical="bottom" wrapText="0"/>
    </xf>
    <xf borderId="1" fillId="8" fontId="2" numFmtId="0" xfId="0" applyAlignment="1" applyBorder="1" applyFont="1">
      <alignment vertical="bottom"/>
    </xf>
    <xf borderId="1" fillId="8" fontId="3" numFmtId="0" xfId="0" applyAlignment="1" applyBorder="1" applyFont="1">
      <alignment horizontal="right" vertical="bottom"/>
    </xf>
    <xf borderId="0" fillId="6" fontId="2" numFmtId="0" xfId="0" applyAlignment="1" applyFont="1">
      <alignment readingOrder="0" vertical="bottom"/>
    </xf>
    <xf borderId="0" fillId="8" fontId="2" numFmtId="0" xfId="0" applyAlignment="1" applyFont="1">
      <alignment readingOrder="0" vertical="bottom"/>
    </xf>
    <xf borderId="0" fillId="8" fontId="2" numFmtId="0" xfId="0" applyAlignment="1" applyFont="1">
      <alignment horizontal="center" readingOrder="0" vertical="bottom"/>
    </xf>
    <xf borderId="0" fillId="8" fontId="2" numFmtId="0" xfId="0" applyAlignment="1" applyFont="1">
      <alignment horizontal="center" vertical="bottom"/>
    </xf>
    <xf borderId="0" fillId="8" fontId="2" numFmtId="0" xfId="0" applyFont="1"/>
    <xf borderId="0" fillId="0" fontId="7" numFmtId="1" xfId="0" applyFont="1" applyNumberFormat="1"/>
    <xf borderId="8" fillId="0" fontId="30" numFmtId="0" xfId="0" applyAlignment="1" applyBorder="1" applyFont="1">
      <alignment vertical="bottom"/>
    </xf>
    <xf borderId="1" fillId="0" fontId="30" numFmtId="0" xfId="0" applyAlignment="1" applyBorder="1" applyFont="1">
      <alignment shrinkToFit="0" vertical="bottom" wrapText="0"/>
    </xf>
    <xf borderId="0" fillId="0" fontId="9" numFmtId="0" xfId="0" applyAlignment="1" applyFont="1">
      <alignment vertical="bottom"/>
    </xf>
    <xf borderId="8" fillId="7" fontId="9" numFmtId="0" xfId="0" applyAlignment="1" applyBorder="1" applyFont="1">
      <alignment vertical="bottom"/>
    </xf>
    <xf borderId="2" fillId="0" fontId="9" numFmtId="1" xfId="0" applyAlignment="1" applyBorder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shrinkToFit="0" vertical="bottom" wrapText="0"/>
    </xf>
    <xf borderId="0" fillId="0" fontId="9" numFmtId="1" xfId="0" applyAlignment="1" applyFont="1" applyNumberFormat="1">
      <alignment horizontal="right" vertical="bottom"/>
    </xf>
    <xf borderId="0" fillId="0" fontId="7" numFmtId="0" xfId="0" applyFont="1"/>
    <xf borderId="0" fillId="2" fontId="31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1"/>
    </xf>
    <xf borderId="8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readingOrder="0" vertical="bottom"/>
    </xf>
    <xf borderId="8" fillId="8" fontId="9" numFmtId="0" xfId="0" applyAlignment="1" applyBorder="1" applyFont="1">
      <alignment vertical="bottom"/>
    </xf>
    <xf borderId="2" fillId="0" fontId="9" numFmtId="0" xfId="0" applyAlignment="1" applyBorder="1" applyFont="1">
      <alignment horizontal="right" vertical="bottom"/>
    </xf>
    <xf borderId="0" fillId="0" fontId="2" numFmtId="1" xfId="0" applyAlignment="1" applyFont="1" applyNumberFormat="1">
      <alignment vertical="bottom"/>
    </xf>
    <xf borderId="8" fillId="9" fontId="9" numFmtId="0" xfId="0" applyAlignment="1" applyBorder="1" applyFill="1" applyFont="1">
      <alignment vertical="bottom"/>
    </xf>
    <xf borderId="0" fillId="7" fontId="9" numFmtId="0" xfId="0" applyAlignment="1" applyFont="1">
      <alignment vertical="bottom"/>
    </xf>
    <xf borderId="0" fillId="10" fontId="9" numFmtId="0" xfId="0" applyAlignment="1" applyFill="1" applyFont="1">
      <alignment horizontal="right" vertical="bottom"/>
    </xf>
    <xf borderId="0" fillId="10" fontId="30" numFmtId="0" xfId="0" applyAlignment="1" applyFont="1">
      <alignment horizontal="right" vertical="bottom"/>
    </xf>
    <xf borderId="1" fillId="0" fontId="3" numFmtId="0" xfId="0" applyAlignment="1" applyBorder="1" applyFont="1">
      <alignment readingOrder="0"/>
    </xf>
    <xf borderId="3" fillId="3" fontId="6" numFmtId="0" xfId="0" applyAlignment="1" applyBorder="1" applyFon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17" fillId="3" fontId="2" numFmtId="0" xfId="0" applyAlignment="1" applyBorder="1" applyFont="1">
      <alignment vertical="top"/>
    </xf>
    <xf borderId="7" fillId="4" fontId="6" numFmtId="0" xfId="0" applyAlignment="1" applyBorder="1" applyFont="1">
      <alignment horizontal="center" readingOrder="0" shrinkToFit="0" vertical="center" wrapText="1"/>
    </xf>
    <xf borderId="22" fillId="4" fontId="2" numFmtId="164" xfId="0" applyAlignment="1" applyBorder="1" applyFont="1" applyNumberFormat="1">
      <alignment horizontal="center" shrinkToFit="0" vertical="center" wrapText="1"/>
    </xf>
    <xf borderId="24" fillId="0" fontId="5" numFmtId="0" xfId="0" applyBorder="1" applyFont="1"/>
    <xf borderId="26" fillId="0" fontId="5" numFmtId="0" xfId="0" applyBorder="1" applyFont="1"/>
    <xf borderId="3" fillId="5" fontId="6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readingOrder="0" shrinkToFit="0" vertical="bottom" wrapText="1"/>
    </xf>
    <xf borderId="11" fillId="3" fontId="9" numFmtId="0" xfId="0" applyAlignment="1" applyBorder="1" applyFont="1">
      <alignment vertical="bottom"/>
    </xf>
    <xf borderId="0" fillId="3" fontId="9" numFmtId="0" xfId="0" applyAlignment="1" applyFont="1">
      <alignment vertical="bottom"/>
    </xf>
    <xf borderId="0" fillId="3" fontId="32" numFmtId="0" xfId="0" applyAlignment="1" applyFont="1">
      <alignment vertical="bottom"/>
    </xf>
    <xf borderId="0" fillId="4" fontId="2" numFmtId="0" xfId="0" applyAlignment="1" applyFont="1">
      <alignment shrinkToFit="0" vertical="bottom" wrapText="1"/>
    </xf>
    <xf borderId="0" fillId="4" fontId="2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7" fontId="7" numFmtId="0" xfId="0" applyAlignment="1" applyFont="1">
      <alignment readingOrder="0" shrinkToFit="0" wrapText="1"/>
    </xf>
    <xf borderId="0" fillId="4" fontId="16" numFmtId="0" xfId="0" applyAlignment="1" applyFont="1">
      <alignment readingOrder="0" shrinkToFit="0" wrapText="1"/>
    </xf>
    <xf borderId="0" fillId="4" fontId="7" numFmtId="0" xfId="0" applyAlignment="1" applyFont="1">
      <alignment readingOrder="0"/>
    </xf>
    <xf borderId="0" fillId="4" fontId="7" numFmtId="0" xfId="0" applyAlignment="1" applyFont="1">
      <alignment horizontal="right" readingOrder="0"/>
    </xf>
    <xf borderId="0" fillId="0" fontId="16" numFmtId="0" xfId="0" applyFont="1"/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readingOrder="0"/>
    </xf>
    <xf borderId="0" fillId="5" fontId="7" numFmtId="0" xfId="0" applyFont="1"/>
    <xf borderId="7" fillId="3" fontId="6" numFmtId="0" xfId="0" applyAlignment="1" applyBorder="1" applyFont="1">
      <alignment horizontal="center" shrinkToFit="0" vertical="center" wrapText="1"/>
    </xf>
    <xf borderId="7" fillId="8" fontId="6" numFmtId="0" xfId="0" applyAlignment="1" applyBorder="1" applyFont="1">
      <alignment horizontal="center" shrinkToFit="0" vertical="center" wrapText="1"/>
    </xf>
    <xf borderId="7" fillId="5" fontId="6" numFmtId="0" xfId="0" applyAlignment="1" applyBorder="1" applyFont="1">
      <alignment horizontal="center" shrinkToFit="0" vertical="center" wrapText="1"/>
    </xf>
    <xf borderId="0" fillId="3" fontId="2" numFmtId="2" xfId="0" applyAlignment="1" applyFont="1" applyNumberFormat="1">
      <alignment horizontal="right" vertical="bottom"/>
    </xf>
    <xf borderId="0" fillId="4" fontId="33" numFmtId="0" xfId="0" applyAlignment="1" applyFont="1">
      <alignment readingOrder="0" shrinkToFit="0" vertical="bottom" wrapText="0"/>
    </xf>
    <xf borderId="0" fillId="4" fontId="2" numFmtId="0" xfId="0" applyAlignment="1" applyFont="1">
      <alignment horizontal="right" readingOrder="0" vertical="bottom"/>
    </xf>
    <xf borderId="0" fillId="4" fontId="10" numFmtId="0" xfId="0" applyAlignment="1" applyFont="1">
      <alignment readingOrder="0" shrinkToFit="0" vertical="bottom" wrapText="0"/>
    </xf>
    <xf borderId="0" fillId="8" fontId="24" numFmtId="0" xfId="0" applyAlignment="1" applyFont="1">
      <alignment readingOrder="0" shrinkToFit="0" vertical="bottom" wrapText="0"/>
    </xf>
    <xf borderId="1" fillId="8" fontId="3" numFmtId="0" xfId="0" applyAlignment="1" applyBorder="1" applyFont="1">
      <alignment horizontal="center" readingOrder="0" vertical="bottom"/>
    </xf>
    <xf borderId="24" fillId="3" fontId="6" numFmtId="0" xfId="0" applyAlignment="1" applyBorder="1" applyFont="1">
      <alignment horizontal="center" shrinkToFit="0" vertical="bottom" wrapText="1"/>
    </xf>
    <xf borderId="26" fillId="3" fontId="7" numFmtId="0" xfId="0" applyBorder="1" applyFont="1"/>
    <xf borderId="24" fillId="4" fontId="6" numFmtId="0" xfId="0" applyAlignment="1" applyBorder="1" applyFont="1">
      <alignment horizontal="center" shrinkToFit="0" vertical="bottom" wrapText="1"/>
    </xf>
    <xf borderId="0" fillId="5" fontId="2" numFmtId="0" xfId="0" applyAlignment="1" applyFont="1">
      <alignment horizontal="center" vertical="bottom"/>
    </xf>
    <xf borderId="1" fillId="5" fontId="7" numFmtId="0" xfId="0" applyBorder="1" applyFont="1"/>
    <xf borderId="0" fillId="3" fontId="2" numFmtId="2" xfId="0" applyAlignment="1" applyFont="1" applyNumberFormat="1">
      <alignment vertical="bottom"/>
    </xf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ont="1">
      <alignment horizontal="right" vertical="bottom"/>
    </xf>
    <xf borderId="0" fillId="4" fontId="2" numFmtId="0" xfId="0" applyAlignment="1" applyFont="1">
      <alignment shrinkToFit="0" vertical="bottom" wrapText="0"/>
    </xf>
    <xf borderId="1" fillId="8" fontId="3" numFmtId="0" xfId="0" applyAlignment="1" applyBorder="1" applyFont="1">
      <alignment horizontal="right" readingOrder="0" vertical="bottom"/>
    </xf>
    <xf borderId="0" fillId="8" fontId="2" numFmtId="0" xfId="0" applyAlignment="1" applyFont="1">
      <alignment readingOrder="0" shrinkToFit="0" vertical="bottom" wrapText="0"/>
    </xf>
    <xf borderId="0" fillId="8" fontId="3" numFmtId="0" xfId="0" applyAlignment="1" applyFont="1">
      <alignment readingOrder="0" shrinkToFit="0" vertical="bottom" wrapText="1"/>
    </xf>
    <xf borderId="0" fillId="4" fontId="2" numFmtId="0" xfId="0" applyAlignment="1" applyFont="1">
      <alignment readingOrder="0" shrinkToFit="0" vertical="bottom" wrapText="1"/>
    </xf>
    <xf borderId="22" fillId="8" fontId="2" numFmtId="164" xfId="0" applyAlignment="1" applyBorder="1" applyFont="1" applyNumberFormat="1">
      <alignment horizontal="center" shrinkToFit="0" vertical="top" wrapText="1"/>
    </xf>
    <xf borderId="26" fillId="8" fontId="2" numFmtId="164" xfId="0" applyAlignment="1" applyBorder="1" applyFont="1" applyNumberFormat="1">
      <alignment horizontal="center" shrinkToFit="0" vertical="top" wrapText="1"/>
    </xf>
    <xf borderId="22" fillId="5" fontId="2" numFmtId="0" xfId="0" applyAlignment="1" applyBorder="1" applyFont="1">
      <alignment horizontal="center" vertical="center"/>
    </xf>
    <xf borderId="0" fillId="0" fontId="7" numFmtId="2" xfId="0" applyFont="1" applyNumberFormat="1"/>
    <xf borderId="0" fillId="0" fontId="34" numFmtId="0" xfId="0" applyAlignment="1" applyFont="1">
      <alignment horizontal="center" readingOrder="0" vertical="bottom"/>
    </xf>
    <xf borderId="0" fillId="0" fontId="9" numFmtId="0" xfId="0" applyAlignment="1" applyFont="1">
      <alignment vertical="top"/>
    </xf>
    <xf borderId="0" fillId="0" fontId="2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horizontal="center" shrinkToFit="0" vertical="bottom" wrapText="1"/>
    </xf>
    <xf borderId="22" fillId="3" fontId="2" numFmtId="0" xfId="0" applyAlignment="1" applyBorder="1" applyFont="1">
      <alignment horizontal="center" vertical="bottom"/>
    </xf>
    <xf borderId="24" fillId="3" fontId="2" numFmtId="164" xfId="0" applyAlignment="1" applyBorder="1" applyFont="1" applyNumberFormat="1">
      <alignment horizontal="center" shrinkToFit="0" vertical="top" wrapText="1"/>
    </xf>
    <xf borderId="24" fillId="3" fontId="7" numFmtId="0" xfId="0" applyBorder="1" applyFont="1"/>
    <xf borderId="24" fillId="8" fontId="6" numFmtId="0" xfId="0" applyAlignment="1" applyBorder="1" applyFont="1">
      <alignment horizontal="center" shrinkToFit="0" vertical="bottom" wrapText="1"/>
    </xf>
    <xf borderId="24" fillId="8" fontId="2" numFmtId="164" xfId="0" applyAlignment="1" applyBorder="1" applyFont="1" applyNumberFormat="1">
      <alignment horizontal="center" shrinkToFit="0" vertical="top" wrapText="1"/>
    </xf>
    <xf borderId="24" fillId="5" fontId="6" numFmtId="0" xfId="0" applyAlignment="1" applyBorder="1" applyFont="1">
      <alignment horizontal="center" shrinkToFit="0" vertical="bottom" wrapText="1"/>
    </xf>
    <xf borderId="22" fillId="5" fontId="7" numFmtId="0" xfId="0" applyBorder="1" applyFont="1"/>
    <xf borderId="24" fillId="5" fontId="2" numFmtId="164" xfId="0" applyAlignment="1" applyBorder="1" applyFont="1" applyNumberFormat="1">
      <alignment horizontal="center" shrinkToFit="0" vertical="top" wrapText="1"/>
    </xf>
    <xf borderId="26" fillId="5" fontId="7" numFmtId="0" xfId="0" applyBorder="1" applyFont="1"/>
    <xf borderId="1" fillId="3" fontId="30" numFmtId="0" xfId="0" applyAlignment="1" applyBorder="1" applyFont="1">
      <alignment vertical="bottom"/>
    </xf>
    <xf borderId="1" fillId="3" fontId="30" numFmtId="0" xfId="0" applyAlignment="1" applyBorder="1" applyFont="1">
      <alignment horizontal="right" vertical="bottom"/>
    </xf>
    <xf borderId="0" fillId="3" fontId="11" numFmtId="0" xfId="0" applyAlignment="1" applyFont="1">
      <alignment horizontal="left" readingOrder="0"/>
    </xf>
    <xf borderId="1" fillId="11" fontId="3" numFmtId="0" xfId="0" applyAlignment="1" applyBorder="1" applyFill="1" applyFont="1">
      <alignment horizontal="center" readingOrder="0" vertical="bottom"/>
    </xf>
    <xf borderId="0" fillId="8" fontId="2" numFmtId="164" xfId="0" applyAlignment="1" applyFont="1" applyNumberFormat="1">
      <alignment horizontal="right" readingOrder="0" vertical="bottom"/>
    </xf>
    <xf borderId="1" fillId="8" fontId="2" numFmtId="164" xfId="0" applyAlignment="1" applyBorder="1" applyFont="1" applyNumberFormat="1">
      <alignment horizontal="right" readingOrder="0" vertical="bottom"/>
    </xf>
    <xf borderId="1" fillId="8" fontId="2" numFmtId="0" xfId="0" applyAlignment="1" applyBorder="1" applyFont="1">
      <alignment shrinkToFit="0" vertical="bottom" wrapText="0"/>
    </xf>
    <xf borderId="1" fillId="2" fontId="2" numFmtId="0" xfId="0" applyBorder="1" applyFont="1"/>
    <xf borderId="0" fillId="8" fontId="3" numFmtId="0" xfId="0" applyAlignment="1" applyFont="1">
      <alignment vertical="bottom"/>
    </xf>
    <xf borderId="0" fillId="8" fontId="3" numFmtId="0" xfId="0" applyAlignment="1" applyFont="1">
      <alignment horizontal="right" readingOrder="0" vertical="bottom"/>
    </xf>
    <xf borderId="0" fillId="8" fontId="22" numFmtId="0" xfId="0" applyAlignment="1" applyFont="1">
      <alignment horizontal="right" readingOrder="0"/>
    </xf>
    <xf borderId="0" fillId="8" fontId="2" numFmtId="0" xfId="0" applyAlignment="1" applyFont="1">
      <alignment readingOrder="0" shrinkToFit="0" vertical="bottom" wrapText="1"/>
    </xf>
    <xf borderId="0" fillId="8" fontId="2" numFmtId="0" xfId="0" applyAlignment="1" applyFont="1">
      <alignment shrinkToFit="0" vertical="bottom" wrapText="1"/>
    </xf>
    <xf borderId="24" fillId="8" fontId="9" numFmtId="0" xfId="0" applyAlignment="1" applyBorder="1" applyFont="1">
      <alignment readingOrder="0" shrinkToFit="0" vertical="bottom" wrapText="0"/>
    </xf>
    <xf borderId="1" fillId="8" fontId="30" numFmtId="0" xfId="0" applyAlignment="1" applyBorder="1" applyFont="1">
      <alignment vertical="bottom"/>
    </xf>
    <xf borderId="1" fillId="8" fontId="30" numFmtId="0" xfId="0" applyAlignment="1" applyBorder="1" applyFont="1">
      <alignment horizontal="right" vertical="bottom"/>
    </xf>
    <xf borderId="0" fillId="8" fontId="2" numFmtId="2" xfId="0" applyAlignment="1" applyFont="1" applyNumberFormat="1">
      <alignment readingOrder="0" vertical="bottom"/>
    </xf>
    <xf borderId="0" fillId="8" fontId="3" numFmtId="0" xfId="0" applyAlignment="1" applyFont="1">
      <alignment readingOrder="0" vertical="bottom"/>
    </xf>
    <xf borderId="0" fillId="8" fontId="16" numFmtId="0" xfId="0" applyAlignment="1" applyFont="1">
      <alignment readingOrder="0"/>
    </xf>
    <xf borderId="0" fillId="8" fontId="7" numFmtId="0" xfId="0" applyFont="1"/>
    <xf borderId="0" fillId="2" fontId="35" numFmtId="0" xfId="0" applyAlignment="1" applyFont="1">
      <alignment horizontal="left" readingOrder="0"/>
    </xf>
    <xf borderId="0" fillId="2" fontId="36" numFmtId="0" xfId="0" applyAlignment="1" applyFont="1">
      <alignment horizontal="left" readingOrder="0"/>
    </xf>
    <xf borderId="0" fillId="0" fontId="37" numFmtId="0" xfId="0" applyAlignment="1" applyFont="1">
      <alignment readingOrder="0"/>
    </xf>
    <xf borderId="0" fillId="12" fontId="38" numFmtId="0" xfId="0" applyAlignment="1" applyFill="1" applyFont="1">
      <alignment readingOrder="0"/>
    </xf>
    <xf borderId="0" fillId="3" fontId="39" numFmtId="0" xfId="0" applyAlignment="1" applyFont="1">
      <alignment vertical="bottom"/>
    </xf>
    <xf borderId="0" fillId="3" fontId="39" numFmtId="0" xfId="0" applyAlignment="1" applyFont="1">
      <alignment readingOrder="0" shrinkToFit="0" vertical="bottom" wrapText="0"/>
    </xf>
    <xf borderId="0" fillId="3" fontId="9" numFmtId="0" xfId="0" applyAlignment="1" applyFont="1">
      <alignment shrinkToFit="0" vertical="bottom" wrapText="0"/>
    </xf>
    <xf borderId="0" fillId="3" fontId="9" numFmtId="164" xfId="0" applyAlignment="1" applyFont="1" applyNumberFormat="1">
      <alignment horizontal="right" readingOrder="0" vertical="bottom"/>
    </xf>
    <xf borderId="1" fillId="0" fontId="9" numFmtId="0" xfId="0" applyAlignment="1" applyBorder="1" applyFont="1">
      <alignment vertical="top"/>
    </xf>
    <xf borderId="8" fillId="0" fontId="2" numFmtId="0" xfId="0" applyAlignment="1" applyBorder="1" applyFont="1">
      <alignment vertical="top"/>
    </xf>
    <xf borderId="2" fillId="0" fontId="2" numFmtId="164" xfId="0" applyAlignment="1" applyBorder="1" applyFont="1" applyNumberFormat="1">
      <alignment vertical="bottom"/>
    </xf>
    <xf borderId="1" fillId="3" fontId="9" numFmtId="0" xfId="0" applyAlignment="1" applyBorder="1" applyFont="1">
      <alignment vertical="bottom"/>
    </xf>
    <xf borderId="1" fillId="3" fontId="2" numFmtId="164" xfId="0" applyAlignment="1" applyBorder="1" applyFont="1" applyNumberFormat="1">
      <alignment horizontal="center" shrinkToFit="0" vertical="top" wrapText="1"/>
    </xf>
    <xf borderId="1" fillId="0" fontId="7" numFmtId="0" xfId="0" applyBorder="1" applyFont="1"/>
    <xf borderId="1" fillId="8" fontId="9" numFmtId="0" xfId="0" applyAlignment="1" applyBorder="1" applyFont="1">
      <alignment horizontal="center" vertical="bottom"/>
    </xf>
    <xf borderId="1" fillId="3" fontId="30" numFmtId="0" xfId="0" applyAlignment="1" applyBorder="1" applyFont="1">
      <alignment readingOrder="0" shrinkToFit="0" vertical="bottom" wrapText="1"/>
    </xf>
    <xf borderId="1" fillId="2" fontId="30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vertical="bottom"/>
    </xf>
    <xf borderId="8" fillId="3" fontId="30" numFmtId="0" xfId="0" applyAlignment="1" applyBorder="1" applyFont="1">
      <alignment vertical="bottom"/>
    </xf>
    <xf borderId="2" fillId="3" fontId="9" numFmtId="0" xfId="0" applyAlignment="1" applyBorder="1" applyFont="1">
      <alignment vertical="bottom"/>
    </xf>
    <xf borderId="2" fillId="3" fontId="30" numFmtId="0" xfId="0" applyAlignment="1" applyBorder="1" applyFont="1">
      <alignment horizontal="right" vertical="bottom"/>
    </xf>
    <xf borderId="26" fillId="2" fontId="30" numFmtId="0" xfId="0" applyAlignment="1" applyBorder="1" applyFont="1">
      <alignment readingOrder="0" shrinkToFit="0" vertical="bottom" wrapText="0"/>
    </xf>
    <xf borderId="1" fillId="3" fontId="9" numFmtId="0" xfId="0" applyAlignment="1" applyBorder="1" applyFont="1">
      <alignment readingOrder="0" shrinkToFit="0" vertical="bottom" wrapText="0"/>
    </xf>
    <xf borderId="24" fillId="3" fontId="9" numFmtId="0" xfId="0" applyAlignment="1" applyBorder="1" applyFont="1">
      <alignment readingOrder="0" shrinkToFit="0" vertical="bottom" wrapText="1"/>
    </xf>
    <xf borderId="0" fillId="8" fontId="9" numFmtId="0" xfId="0" applyAlignment="1" applyFont="1">
      <alignment shrinkToFit="0" vertical="bottom" wrapText="0"/>
    </xf>
    <xf borderId="0" fillId="8" fontId="9" numFmtId="164" xfId="0" applyAlignment="1" applyFont="1" applyNumberFormat="1">
      <alignment horizontal="right" readingOrder="0" vertical="bottom"/>
    </xf>
    <xf borderId="0" fillId="8" fontId="9" numFmtId="0" xfId="0" applyAlignment="1" applyFont="1">
      <alignment vertical="bottom"/>
    </xf>
    <xf borderId="0" fillId="8" fontId="30" numFmtId="0" xfId="0" applyAlignment="1" applyFont="1">
      <alignment vertical="bottom"/>
    </xf>
    <xf borderId="0" fillId="8" fontId="30" numFmtId="164" xfId="0" applyAlignment="1" applyFont="1" applyNumberFormat="1">
      <alignment horizontal="right" readingOrder="0" vertical="bottom"/>
    </xf>
    <xf borderId="0" fillId="8" fontId="40" numFmtId="0" xfId="0" applyAlignment="1" applyFont="1">
      <alignment horizontal="right" readingOrder="0"/>
    </xf>
    <xf borderId="0" fillId="8" fontId="9" numFmtId="0" xfId="0" applyAlignment="1" applyFont="1">
      <alignment readingOrder="0" shrinkToFit="0" vertical="bottom" wrapText="1"/>
    </xf>
    <xf borderId="0" fillId="8" fontId="9" numFmtId="0" xfId="0" applyAlignment="1" applyFont="1">
      <alignment shrinkToFit="0" vertical="bottom" wrapText="1"/>
    </xf>
    <xf borderId="0" fillId="8" fontId="9" numFmtId="164" xfId="0" applyAlignment="1" applyFont="1" applyNumberFormat="1">
      <alignment horizontal="right" vertical="bottom"/>
    </xf>
    <xf borderId="1" fillId="8" fontId="2" numFmtId="0" xfId="0" applyAlignment="1" applyBorder="1" applyFont="1">
      <alignment readingOrder="0" shrinkToFit="0" vertical="bottom" wrapText="0"/>
    </xf>
    <xf borderId="1" fillId="8" fontId="2" numFmtId="164" xfId="0" applyAlignment="1" applyBorder="1" applyFont="1" applyNumberFormat="1">
      <alignment vertical="bottom"/>
    </xf>
    <xf borderId="1" fillId="8" fontId="30" numFmtId="0" xfId="0" applyAlignment="1" applyBorder="1" applyFont="1">
      <alignment readingOrder="0" shrinkToFit="0" vertical="bottom" wrapText="0"/>
    </xf>
    <xf borderId="26" fillId="8" fontId="3" numFmtId="0" xfId="0" applyAlignment="1" applyBorder="1" applyFont="1">
      <alignment readingOrder="0" shrinkToFit="0" vertical="bottom" wrapText="0"/>
    </xf>
    <xf borderId="0" fillId="8" fontId="2" numFmtId="0" xfId="0" applyAlignment="1" applyFont="1">
      <alignment readingOrder="0"/>
    </xf>
    <xf borderId="26" fillId="4" fontId="9" numFmtId="0" xfId="0" applyAlignment="1" applyBorder="1" applyFont="1">
      <alignment readingOrder="0" shrinkToFit="0" vertical="bottom" wrapText="0"/>
    </xf>
    <xf borderId="0" fillId="5" fontId="9" numFmtId="0" xfId="0" applyAlignment="1" applyFont="1">
      <alignment shrinkToFit="0" vertical="bottom" wrapText="1"/>
    </xf>
    <xf borderId="3" fillId="3" fontId="6" numFmtId="0" xfId="0" applyAlignment="1" applyBorder="1" applyFont="1">
      <alignment horizontal="center" shrinkToFit="0" vertical="center" wrapText="1"/>
    </xf>
    <xf borderId="0" fillId="4" fontId="2" numFmtId="164" xfId="0" applyAlignment="1" applyFont="1" applyNumberForma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shrinkToFit="0" vertical="bottom" wrapText="0"/>
    </xf>
    <xf borderId="0" fillId="4" fontId="32" numFmtId="0" xfId="0" applyAlignment="1" applyFont="1">
      <alignment vertical="bottom"/>
    </xf>
    <xf borderId="19" fillId="13" fontId="17" numFmtId="164" xfId="0" applyAlignment="1" applyBorder="1" applyFill="1" applyFont="1" applyNumberFormat="1">
      <alignment horizontal="center" readingOrder="0"/>
    </xf>
    <xf borderId="28" fillId="0" fontId="5" numFmtId="0" xfId="0" applyBorder="1" applyFont="1"/>
    <xf borderId="22" fillId="3" fontId="2" numFmtId="0" xfId="0" applyAlignment="1" applyBorder="1" applyFont="1">
      <alignment vertical="top"/>
    </xf>
    <xf borderId="11" fillId="0" fontId="5" numFmtId="0" xfId="0" applyBorder="1" applyFont="1"/>
    <xf borderId="22" fillId="4" fontId="2" numFmtId="0" xfId="0" applyAlignment="1" applyBorder="1" applyFont="1">
      <alignment vertical="top"/>
    </xf>
    <xf borderId="22" fillId="5" fontId="2" numFmtId="164" xfId="0" applyAlignment="1" applyBorder="1" applyFont="1" applyNumberFormat="1">
      <alignment horizontal="center" readingOrder="0" shrinkToFit="0" vertical="center" wrapText="1"/>
    </xf>
    <xf borderId="22" fillId="5" fontId="2" numFmtId="0" xfId="0" applyAlignment="1" applyBorder="1" applyFont="1">
      <alignment vertical="top"/>
    </xf>
    <xf borderId="0" fillId="3" fontId="2" numFmtId="0" xfId="0" applyAlignment="1" applyFont="1">
      <alignment readingOrder="0" shrinkToFit="0" vertical="bottom" wrapText="0"/>
    </xf>
    <xf borderId="1" fillId="3" fontId="2" numFmtId="0" xfId="0" applyAlignment="1" applyBorder="1" applyFont="1">
      <alignment horizontal="center" readingOrder="0" vertical="bottom"/>
    </xf>
    <xf borderId="0" fillId="3" fontId="2" numFmtId="168" xfId="0" applyAlignment="1" applyFont="1" applyNumberFormat="1">
      <alignment horizontal="right" readingOrder="0" vertical="bottom"/>
    </xf>
    <xf borderId="0" fillId="2" fontId="2" numFmtId="168" xfId="0" applyAlignment="1" applyFont="1" applyNumberFormat="1">
      <alignment horizontal="right" readingOrder="0" vertical="bottom"/>
    </xf>
    <xf borderId="1" fillId="3" fontId="2" numFmtId="0" xfId="0" applyAlignment="1" applyBorder="1" applyFont="1">
      <alignment readingOrder="0" shrinkToFit="0" vertical="bottom" wrapText="0"/>
    </xf>
    <xf borderId="0" fillId="5" fontId="2" numFmtId="0" xfId="0" applyAlignment="1" applyFont="1">
      <alignment readingOrder="0" shrinkToFit="0" vertical="bottom" wrapText="0"/>
    </xf>
    <xf borderId="1" fillId="0" fontId="2" numFmtId="164" xfId="0" applyAlignment="1" applyBorder="1" applyFont="1" applyNumberFormat="1">
      <alignment readingOrder="0"/>
    </xf>
    <xf borderId="0" fillId="3" fontId="2" numFmtId="0" xfId="0" applyAlignment="1" applyFont="1">
      <alignment vertical="top"/>
    </xf>
    <xf borderId="0" fillId="4" fontId="2" numFmtId="0" xfId="0" applyAlignment="1" applyFont="1">
      <alignment vertical="top"/>
    </xf>
    <xf borderId="0" fillId="5" fontId="2" numFmtId="0" xfId="0" applyAlignment="1" applyFont="1">
      <alignment vertical="top"/>
    </xf>
    <xf borderId="0" fillId="2" fontId="2" numFmtId="2" xfId="0" applyAlignment="1" applyFont="1" applyNumberFormat="1">
      <alignment horizontal="right" readingOrder="0" vertical="bottom"/>
    </xf>
    <xf borderId="0" fillId="3" fontId="2" numFmtId="49" xfId="0" applyAlignment="1" applyFont="1" applyNumberFormat="1">
      <alignment horizontal="right" readingOrder="0" vertical="bottom"/>
    </xf>
    <xf borderId="19" fillId="14" fontId="41" numFmtId="0" xfId="0" applyAlignment="1" applyBorder="1" applyFill="1" applyFont="1">
      <alignment readingOrder="0" shrinkToFit="0" vertical="bottom" wrapText="0"/>
    </xf>
    <xf borderId="28" fillId="14" fontId="41" numFmtId="0" xfId="0" applyAlignment="1" applyBorder="1" applyFont="1">
      <alignment vertical="bottom"/>
    </xf>
    <xf borderId="20" fillId="14" fontId="41" numFmtId="0" xfId="0" applyAlignment="1" applyBorder="1" applyFont="1">
      <alignment vertical="bottom"/>
    </xf>
    <xf borderId="0" fillId="2" fontId="7" numFmtId="0" xfId="0" applyAlignment="1" applyFont="1">
      <alignment readingOrder="0"/>
    </xf>
    <xf borderId="0" fillId="3" fontId="2" numFmtId="4" xfId="0" applyAlignment="1" applyFont="1" applyNumberFormat="1">
      <alignment horizontal="right" vertical="bottom"/>
    </xf>
    <xf borderId="0" fillId="2" fontId="9" numFmtId="2" xfId="0" applyAlignment="1" applyFont="1" applyNumberFormat="1">
      <alignment vertical="bottom"/>
    </xf>
    <xf borderId="0" fillId="2" fontId="2" numFmtId="4" xfId="0" applyAlignment="1" applyFont="1" applyNumberFormat="1">
      <alignment horizontal="right" vertical="bottom"/>
    </xf>
    <xf borderId="0" fillId="2" fontId="32" numFmtId="0" xfId="0" applyAlignment="1" applyFont="1">
      <alignment vertical="bottom"/>
    </xf>
    <xf borderId="22" fillId="5" fontId="2" numFmtId="164" xfId="0" applyAlignment="1" applyBorder="1" applyFont="1" applyNumberFormat="1">
      <alignment horizontal="center" shrinkToFit="0" vertical="center" wrapText="1"/>
    </xf>
    <xf borderId="0" fillId="3" fontId="2" numFmtId="0" xfId="0" applyAlignment="1" applyFont="1">
      <alignment shrinkToFit="0" vertical="bottom" wrapText="0"/>
    </xf>
    <xf borderId="0" fillId="0" fontId="7" numFmtId="164" xfId="0" applyFont="1" applyNumberFormat="1"/>
    <xf borderId="0" fillId="2" fontId="2" numFmtId="0" xfId="0" applyAlignment="1" applyFont="1">
      <alignment vertical="bottom"/>
    </xf>
    <xf borderId="0" fillId="3" fontId="2" numFmtId="168" xfId="0" applyAlignment="1" applyFont="1" applyNumberFormat="1">
      <alignment readingOrder="0" vertical="bottom"/>
    </xf>
    <xf borderId="0" fillId="3" fontId="2" numFmtId="1" xfId="0" applyAlignment="1" applyFont="1" applyNumberFormat="1">
      <alignment horizontal="right" readingOrder="0" vertical="bottom"/>
    </xf>
    <xf borderId="0" fillId="2" fontId="2" numFmtId="1" xfId="0" applyAlignment="1" applyFont="1" applyNumberFormat="1">
      <alignment horizontal="right" readingOrder="0" vertical="bottom"/>
    </xf>
    <xf borderId="0" fillId="3" fontId="9" numFmtId="0" xfId="0" applyAlignment="1" applyFont="1">
      <alignment readingOrder="0" shrinkToFit="0" vertical="bottom" wrapText="0"/>
    </xf>
    <xf borderId="1" fillId="0" fontId="3" numFmtId="164" xfId="0" applyAlignment="1" applyBorder="1" applyFont="1" applyNumberFormat="1">
      <alignment readingOrder="0"/>
    </xf>
    <xf borderId="22" fillId="7" fontId="2" numFmtId="164" xfId="0" applyAlignment="1" applyBorder="1" applyFont="1" applyNumberFormat="1">
      <alignment horizontal="center" shrinkToFit="0" vertical="center" wrapText="1"/>
    </xf>
    <xf borderId="22" fillId="3" fontId="2" numFmtId="164" xfId="0" applyAlignment="1" applyBorder="1" applyFont="1" applyNumberFormat="1">
      <alignment horizontal="center" shrinkToFit="0" vertical="center" wrapText="1"/>
    </xf>
    <xf borderId="0" fillId="3" fontId="4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47" Type="http://schemas.openxmlformats.org/officeDocument/2006/relationships/worksheet" Target="worksheets/sheet43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4"/>
      <c r="C2" s="5" t="s">
        <v>1</v>
      </c>
      <c r="D2" s="6"/>
      <c r="E2" s="6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7" t="s">
        <v>2</v>
      </c>
      <c r="B3" s="8" t="s">
        <v>3</v>
      </c>
      <c r="C3" s="9"/>
      <c r="D3" s="10" t="s">
        <v>4</v>
      </c>
      <c r="E3" s="10" t="s">
        <v>5</v>
      </c>
      <c r="F3" s="11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2" t="s">
        <v>7</v>
      </c>
      <c r="B4" s="13" t="s">
        <v>8</v>
      </c>
      <c r="C4" s="14"/>
      <c r="D4" s="15"/>
      <c r="E4" s="15"/>
      <c r="F4" s="1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6"/>
      <c r="C5" s="14"/>
      <c r="D5" s="17"/>
      <c r="E5" s="15"/>
      <c r="F5" s="18"/>
      <c r="G5" s="2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2"/>
      <c r="W5" s="2"/>
      <c r="X5" s="2"/>
      <c r="Y5" s="2"/>
      <c r="Z5" s="2"/>
      <c r="AA5" s="2"/>
    </row>
    <row r="6">
      <c r="A6" s="20"/>
      <c r="B6" s="9"/>
      <c r="C6" s="21"/>
      <c r="D6" s="18"/>
      <c r="E6" s="18"/>
      <c r="F6" s="18"/>
      <c r="G6" s="2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2"/>
      <c r="W6" s="2"/>
      <c r="X6" s="2"/>
      <c r="Y6" s="2"/>
      <c r="Z6" s="2"/>
      <c r="AA6" s="2"/>
    </row>
    <row r="7">
      <c r="A7" s="22" t="s">
        <v>9</v>
      </c>
      <c r="B7" s="23"/>
      <c r="C7" s="18"/>
      <c r="D7" s="24"/>
      <c r="E7" s="24"/>
      <c r="F7" s="24"/>
      <c r="G7" s="2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2"/>
      <c r="W7" s="2"/>
      <c r="X7" s="2"/>
      <c r="Y7" s="2"/>
      <c r="Z7" s="2"/>
      <c r="AA7" s="2"/>
    </row>
    <row r="8">
      <c r="A8" s="25"/>
      <c r="B8" s="26" t="s">
        <v>10</v>
      </c>
      <c r="C8" s="18"/>
      <c r="D8" s="14"/>
      <c r="E8" s="14"/>
      <c r="F8" s="14"/>
      <c r="G8" s="2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2"/>
      <c r="W8" s="2"/>
      <c r="X8" s="2"/>
      <c r="Y8" s="2"/>
      <c r="Z8" s="2"/>
      <c r="AA8" s="2"/>
    </row>
    <row r="9">
      <c r="A9" s="27"/>
      <c r="B9" s="28"/>
      <c r="C9" s="29"/>
      <c r="D9" s="21"/>
      <c r="E9" s="21"/>
      <c r="F9" s="21"/>
      <c r="G9" s="2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2"/>
      <c r="W9" s="2"/>
      <c r="X9" s="2"/>
      <c r="Y9" s="2"/>
      <c r="Z9" s="2"/>
      <c r="AA9" s="2"/>
    </row>
    <row r="10">
      <c r="A10" s="30" t="s">
        <v>11</v>
      </c>
      <c r="B10" s="31" t="s">
        <v>12</v>
      </c>
      <c r="C10" s="14"/>
      <c r="D10" s="32"/>
      <c r="E10" s="32"/>
      <c r="F10" s="32"/>
      <c r="G10" s="2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2"/>
      <c r="W10" s="2"/>
      <c r="X10" s="2"/>
      <c r="Y10" s="2"/>
      <c r="Z10" s="2"/>
      <c r="AA10" s="2"/>
    </row>
    <row r="11">
      <c r="A11" s="33"/>
      <c r="B11" s="9"/>
      <c r="C11" s="21"/>
      <c r="D11" s="21"/>
      <c r="E11" s="21"/>
      <c r="F11" s="21"/>
      <c r="G11" s="2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2"/>
      <c r="W12" s="2"/>
      <c r="X12" s="2"/>
      <c r="Y12" s="2"/>
      <c r="Z12" s="2"/>
      <c r="AA12" s="2"/>
    </row>
    <row r="13">
      <c r="A13" s="34" t="s">
        <v>13</v>
      </c>
      <c r="B13" s="35"/>
      <c r="C13" s="35"/>
      <c r="D13" s="35"/>
      <c r="E13" s="35"/>
      <c r="F13" s="35"/>
      <c r="G13" s="2"/>
      <c r="H13" s="19"/>
      <c r="I13" s="19"/>
      <c r="J13" s="19"/>
      <c r="K13" s="19"/>
      <c r="L13" s="36"/>
      <c r="M13" s="36"/>
      <c r="N13" s="36"/>
      <c r="O13" s="36"/>
      <c r="P13" s="36"/>
      <c r="Q13" s="36"/>
      <c r="R13" s="19"/>
      <c r="S13" s="19"/>
      <c r="T13" s="19"/>
      <c r="U13" s="19"/>
      <c r="V13" s="2"/>
      <c r="W13" s="2"/>
      <c r="X13" s="2"/>
      <c r="Y13" s="2"/>
      <c r="Z13" s="2"/>
      <c r="AA13" s="2"/>
    </row>
    <row r="14">
      <c r="A14" s="37" t="s">
        <v>14</v>
      </c>
      <c r="B14" s="38"/>
      <c r="C14" s="39"/>
      <c r="D14" s="39"/>
      <c r="E14" s="39"/>
      <c r="F14" s="39"/>
      <c r="G14" s="2"/>
      <c r="H14" s="19"/>
      <c r="I14" s="19"/>
      <c r="J14" s="19"/>
      <c r="K14" s="40"/>
      <c r="L14" s="41"/>
      <c r="M14" s="19"/>
      <c r="N14" s="42"/>
      <c r="O14" s="19"/>
      <c r="P14" s="43"/>
      <c r="Q14" s="44"/>
      <c r="R14" s="19"/>
      <c r="S14" s="19"/>
      <c r="T14" s="19"/>
      <c r="U14" s="19"/>
      <c r="V14" s="2"/>
      <c r="W14" s="2"/>
      <c r="X14" s="2"/>
      <c r="Y14" s="2"/>
      <c r="Z14" s="2"/>
      <c r="AA14" s="2"/>
    </row>
    <row r="15">
      <c r="A15" s="45" t="s">
        <v>15</v>
      </c>
      <c r="B15" s="46" t="s">
        <v>16</v>
      </c>
      <c r="C15" s="47" t="s">
        <v>17</v>
      </c>
      <c r="D15" s="47" t="s">
        <v>18</v>
      </c>
      <c r="E15" s="47" t="s">
        <v>19</v>
      </c>
      <c r="F15" s="47" t="s">
        <v>20</v>
      </c>
      <c r="G15" s="2"/>
      <c r="H15" s="19"/>
      <c r="I15" s="19"/>
      <c r="J15" s="19"/>
      <c r="K15" s="40"/>
      <c r="L15" s="41"/>
      <c r="M15" s="19"/>
      <c r="N15" s="42"/>
      <c r="O15" s="19"/>
      <c r="P15" s="43"/>
      <c r="Q15" s="44"/>
      <c r="R15" s="19"/>
      <c r="S15" s="19"/>
      <c r="T15" s="19"/>
      <c r="U15" s="19"/>
      <c r="V15" s="2"/>
      <c r="W15" s="2"/>
      <c r="X15" s="2"/>
      <c r="Y15" s="2"/>
      <c r="Z15" s="2"/>
      <c r="AA15" s="2"/>
    </row>
    <row r="16">
      <c r="A16" s="48" t="s">
        <v>21</v>
      </c>
      <c r="B16" s="49">
        <v>27.5</v>
      </c>
      <c r="C16" s="50" t="b">
        <v>0</v>
      </c>
      <c r="D16" s="50" t="b">
        <v>0</v>
      </c>
      <c r="E16" s="50" t="b">
        <v>0</v>
      </c>
      <c r="F16" s="50" t="b">
        <v>0</v>
      </c>
      <c r="G16" s="51"/>
      <c r="H16" s="19"/>
      <c r="I16" s="19"/>
      <c r="J16" s="19"/>
      <c r="K16" s="40"/>
      <c r="L16" s="41"/>
      <c r="M16" s="19"/>
      <c r="N16" s="42"/>
      <c r="O16" s="19"/>
      <c r="P16" s="43"/>
      <c r="Q16" s="44"/>
      <c r="R16" s="19"/>
      <c r="S16" s="19"/>
      <c r="T16" s="19"/>
      <c r="U16" s="19"/>
      <c r="V16" s="2"/>
      <c r="W16" s="2"/>
      <c r="X16" s="2"/>
      <c r="Y16" s="2"/>
      <c r="Z16" s="2"/>
      <c r="AA16" s="2"/>
    </row>
    <row r="17">
      <c r="A17" s="48" t="s">
        <v>22</v>
      </c>
      <c r="B17" s="49">
        <v>5.0</v>
      </c>
      <c r="C17" s="50" t="b">
        <v>0</v>
      </c>
      <c r="D17" s="50" t="b">
        <v>0</v>
      </c>
      <c r="E17" s="50" t="b">
        <v>0</v>
      </c>
      <c r="F17" s="50" t="b">
        <v>0</v>
      </c>
      <c r="G17" s="51"/>
      <c r="H17" s="19"/>
      <c r="I17" s="19"/>
      <c r="J17" s="19"/>
      <c r="K17" s="40"/>
      <c r="L17" s="41"/>
      <c r="M17" s="19"/>
      <c r="N17" s="42"/>
      <c r="O17" s="19"/>
      <c r="P17" s="43"/>
      <c r="Q17" s="44"/>
      <c r="R17" s="19"/>
      <c r="S17" s="19"/>
      <c r="T17" s="19"/>
      <c r="U17" s="19"/>
      <c r="V17" s="2"/>
      <c r="W17" s="2"/>
      <c r="X17" s="2"/>
      <c r="Y17" s="2"/>
      <c r="Z17" s="2"/>
      <c r="AA17" s="2"/>
    </row>
    <row r="18">
      <c r="A18" s="48" t="s">
        <v>23</v>
      </c>
      <c r="B18" s="49">
        <v>11.25</v>
      </c>
      <c r="C18" s="50" t="b">
        <v>0</v>
      </c>
      <c r="D18" s="50" t="b">
        <v>0</v>
      </c>
      <c r="E18" s="50" t="b">
        <v>0</v>
      </c>
      <c r="F18" s="50" t="b">
        <v>0</v>
      </c>
      <c r="G18" s="2"/>
      <c r="H18" s="19"/>
      <c r="I18" s="19"/>
      <c r="J18" s="19"/>
      <c r="K18" s="40"/>
      <c r="L18" s="41"/>
      <c r="M18" s="19"/>
      <c r="N18" s="42"/>
      <c r="O18" s="19"/>
      <c r="P18" s="43"/>
      <c r="Q18" s="44"/>
      <c r="R18" s="19"/>
      <c r="S18" s="19"/>
      <c r="T18" s="19"/>
      <c r="U18" s="19"/>
      <c r="V18" s="2"/>
      <c r="W18" s="2"/>
      <c r="X18" s="2"/>
      <c r="Y18" s="2"/>
      <c r="Z18" s="2"/>
      <c r="AA18" s="2"/>
    </row>
    <row r="19">
      <c r="A19" s="48" t="s">
        <v>24</v>
      </c>
      <c r="B19" s="49">
        <v>10.0</v>
      </c>
      <c r="C19" s="50" t="b">
        <v>0</v>
      </c>
      <c r="D19" s="50" t="b">
        <v>0</v>
      </c>
      <c r="E19" s="50" t="b">
        <v>0</v>
      </c>
      <c r="F19" s="50" t="b">
        <v>0</v>
      </c>
      <c r="G19" s="2"/>
      <c r="H19" s="19"/>
      <c r="I19" s="19"/>
      <c r="J19" s="19"/>
      <c r="K19" s="40"/>
      <c r="L19" s="41"/>
      <c r="M19" s="19"/>
      <c r="N19" s="42"/>
      <c r="O19" s="19"/>
      <c r="P19" s="43"/>
      <c r="Q19" s="44"/>
      <c r="R19" s="19"/>
      <c r="S19" s="19"/>
      <c r="T19" s="19"/>
      <c r="U19" s="19"/>
      <c r="V19" s="2"/>
      <c r="W19" s="2"/>
      <c r="X19" s="2"/>
      <c r="Y19" s="2"/>
      <c r="Z19" s="2"/>
      <c r="AA19" s="2"/>
    </row>
    <row r="20">
      <c r="A20" s="48" t="s">
        <v>25</v>
      </c>
      <c r="B20" s="49">
        <v>20.0</v>
      </c>
      <c r="C20" s="50" t="b">
        <v>0</v>
      </c>
      <c r="D20" s="50" t="b">
        <v>0</v>
      </c>
      <c r="E20" s="50" t="b">
        <v>0</v>
      </c>
      <c r="F20" s="50" t="b">
        <v>0</v>
      </c>
      <c r="G20" s="2"/>
      <c r="H20" s="19"/>
      <c r="I20" s="19"/>
      <c r="J20" s="19"/>
      <c r="K20" s="40"/>
      <c r="L20" s="41"/>
      <c r="M20" s="19"/>
      <c r="N20" s="42"/>
      <c r="O20" s="19"/>
      <c r="P20" s="43"/>
      <c r="Q20" s="44"/>
      <c r="R20" s="19"/>
      <c r="S20" s="19"/>
      <c r="T20" s="19"/>
      <c r="U20" s="19"/>
      <c r="V20" s="2"/>
      <c r="W20" s="2"/>
      <c r="X20" s="2"/>
      <c r="Y20" s="2"/>
      <c r="Z20" s="2"/>
      <c r="AA20" s="2"/>
    </row>
    <row r="21">
      <c r="A21" s="48" t="s">
        <v>26</v>
      </c>
      <c r="B21" s="49">
        <v>26.5</v>
      </c>
      <c r="C21" s="50" t="b">
        <v>0</v>
      </c>
      <c r="D21" s="50" t="b">
        <v>0</v>
      </c>
      <c r="E21" s="50" t="b">
        <v>0</v>
      </c>
      <c r="F21" s="50" t="b">
        <v>0</v>
      </c>
      <c r="G21" s="2"/>
      <c r="H21" s="19"/>
      <c r="I21" s="19"/>
      <c r="J21" s="19"/>
      <c r="K21" s="19"/>
      <c r="L21" s="41"/>
      <c r="M21" s="19"/>
      <c r="N21" s="19"/>
      <c r="O21" s="19"/>
      <c r="P21" s="19"/>
      <c r="Q21" s="52"/>
      <c r="R21" s="19"/>
      <c r="S21" s="19"/>
      <c r="T21" s="19"/>
      <c r="U21" s="19"/>
      <c r="V21" s="2"/>
      <c r="W21" s="2"/>
      <c r="X21" s="2"/>
      <c r="Y21" s="2"/>
      <c r="Z21" s="2"/>
      <c r="AA21" s="2"/>
    </row>
    <row r="22">
      <c r="A22" s="35"/>
      <c r="B22" s="53" t="s">
        <v>27</v>
      </c>
      <c r="C22" s="54"/>
      <c r="D22" s="55"/>
      <c r="E22" s="39"/>
      <c r="F22" s="35"/>
      <c r="G22" s="2"/>
      <c r="H22" s="19"/>
      <c r="I22" s="19"/>
      <c r="J22" s="19"/>
      <c r="K22" s="40"/>
      <c r="L22" s="41"/>
      <c r="M22" s="19"/>
      <c r="N22" s="19"/>
      <c r="O22" s="19"/>
      <c r="P22" s="19"/>
      <c r="Q22" s="52"/>
      <c r="R22" s="19"/>
      <c r="S22" s="19"/>
      <c r="T22" s="19"/>
      <c r="U22" s="19"/>
      <c r="V22" s="2"/>
      <c r="W22" s="2"/>
      <c r="X22" s="2"/>
      <c r="Y22" s="2"/>
      <c r="Z22" s="2"/>
      <c r="AA22" s="2"/>
    </row>
    <row r="23">
      <c r="A23" s="35"/>
      <c r="B23" s="35"/>
      <c r="C23" s="56"/>
      <c r="D23" s="35"/>
      <c r="E23" s="35"/>
      <c r="F23" s="35"/>
      <c r="G23" s="2"/>
      <c r="H23" s="19"/>
      <c r="I23" s="19"/>
      <c r="J23" s="19"/>
      <c r="K23" s="19"/>
      <c r="L23" s="41"/>
      <c r="M23" s="19"/>
      <c r="N23" s="19"/>
      <c r="O23" s="19"/>
      <c r="P23" s="19"/>
      <c r="Q23" s="52"/>
      <c r="R23" s="19"/>
      <c r="S23" s="19"/>
      <c r="T23" s="19"/>
      <c r="U23" s="19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"/>
      <c r="W24" s="2"/>
      <c r="X24" s="2"/>
      <c r="Y24" s="2"/>
      <c r="Z24" s="2"/>
      <c r="AA24" s="2"/>
    </row>
    <row r="25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7" t="s">
        <v>28</v>
      </c>
      <c r="B26" s="58"/>
      <c r="C26" s="58"/>
      <c r="D26" s="58"/>
      <c r="E26" s="58"/>
      <c r="F26" s="5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9" t="s">
        <v>29</v>
      </c>
      <c r="B28" s="60"/>
      <c r="C28" s="60"/>
      <c r="D28" s="60"/>
      <c r="E28" s="60"/>
      <c r="F28" s="6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9" t="s">
        <v>30</v>
      </c>
      <c r="B29" s="60"/>
      <c r="C29" s="60"/>
      <c r="D29" s="60"/>
      <c r="E29" s="60"/>
      <c r="F29" s="6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</sheetData>
  <mergeCells count="20">
    <mergeCell ref="B4:C6"/>
    <mergeCell ref="B7:C7"/>
    <mergeCell ref="D7:D9"/>
    <mergeCell ref="E7:E9"/>
    <mergeCell ref="D10:D11"/>
    <mergeCell ref="E10:E11"/>
    <mergeCell ref="F10:F11"/>
    <mergeCell ref="A7:A9"/>
    <mergeCell ref="B8:C8"/>
    <mergeCell ref="B9:C9"/>
    <mergeCell ref="A10:A11"/>
    <mergeCell ref="B10:C11"/>
    <mergeCell ref="A1:F1"/>
    <mergeCell ref="B3:C3"/>
    <mergeCell ref="A4:A6"/>
    <mergeCell ref="F4:F6"/>
    <mergeCell ref="D5:D6"/>
    <mergeCell ref="E5:E6"/>
    <mergeCell ref="F7:F9"/>
    <mergeCell ref="A25:F2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31</v>
      </c>
    </row>
    <row r="2">
      <c r="A2" s="3"/>
      <c r="B2" s="4"/>
      <c r="C2" s="61" t="s">
        <v>32</v>
      </c>
      <c r="D2" s="6"/>
      <c r="E2" s="6"/>
      <c r="F2" s="6"/>
    </row>
    <row r="3">
      <c r="A3" s="7" t="s">
        <v>2</v>
      </c>
      <c r="B3" s="8" t="s">
        <v>3</v>
      </c>
      <c r="C3" s="9"/>
      <c r="D3" s="10" t="s">
        <v>4</v>
      </c>
      <c r="E3" s="10" t="s">
        <v>5</v>
      </c>
      <c r="F3" s="11" t="s">
        <v>6</v>
      </c>
    </row>
    <row r="4">
      <c r="A4" s="62" t="s">
        <v>33</v>
      </c>
      <c r="B4" s="13" t="s">
        <v>8</v>
      </c>
      <c r="C4" s="18"/>
      <c r="D4" s="15"/>
      <c r="E4" s="15"/>
      <c r="F4" s="15"/>
    </row>
    <row r="5">
      <c r="A5" s="63"/>
      <c r="B5" s="64" t="s">
        <v>34</v>
      </c>
      <c r="C5" s="14"/>
      <c r="D5" s="17"/>
      <c r="E5" s="15"/>
      <c r="F5" s="15"/>
    </row>
    <row r="6">
      <c r="A6" s="65"/>
      <c r="B6" s="66" t="s">
        <v>35</v>
      </c>
      <c r="C6" s="21"/>
      <c r="D6" s="67"/>
      <c r="E6" s="67"/>
      <c r="F6" s="67"/>
    </row>
    <row r="7">
      <c r="A7" s="68" t="s">
        <v>36</v>
      </c>
      <c r="B7" s="26" t="s">
        <v>37</v>
      </c>
      <c r="C7" s="18"/>
      <c r="D7" s="24"/>
      <c r="E7" s="24"/>
      <c r="F7" s="24"/>
    </row>
    <row r="8">
      <c r="A8" s="25"/>
      <c r="B8" s="26" t="s">
        <v>38</v>
      </c>
      <c r="C8" s="18"/>
      <c r="D8" s="24"/>
      <c r="E8" s="24"/>
      <c r="F8" s="24"/>
    </row>
    <row r="9">
      <c r="A9" s="27"/>
      <c r="B9" s="69" t="s">
        <v>39</v>
      </c>
      <c r="C9" s="29"/>
      <c r="D9" s="70"/>
      <c r="E9" s="70"/>
      <c r="F9" s="70"/>
    </row>
    <row r="10">
      <c r="A10" s="71" t="s">
        <v>11</v>
      </c>
      <c r="B10" s="72" t="s">
        <v>40</v>
      </c>
      <c r="C10" s="18"/>
      <c r="D10" s="32"/>
      <c r="E10" s="32"/>
      <c r="F10" s="32"/>
    </row>
    <row r="11">
      <c r="A11" s="73"/>
      <c r="B11" s="74" t="s">
        <v>41</v>
      </c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75" t="s">
        <v>42</v>
      </c>
    </row>
    <row r="17">
      <c r="A17" s="45" t="s">
        <v>15</v>
      </c>
      <c r="B17" s="76" t="s">
        <v>16</v>
      </c>
      <c r="C17" s="77" t="s">
        <v>43</v>
      </c>
      <c r="D17" s="77" t="s">
        <v>43</v>
      </c>
      <c r="E17" s="77" t="s">
        <v>44</v>
      </c>
      <c r="F17" s="77" t="s">
        <v>44</v>
      </c>
    </row>
    <row r="18">
      <c r="A18" s="78" t="s">
        <v>45</v>
      </c>
      <c r="B18" s="79">
        <v>12.5</v>
      </c>
      <c r="C18" s="50" t="b">
        <v>0</v>
      </c>
      <c r="D18" s="50" t="b">
        <v>0</v>
      </c>
      <c r="E18" s="50" t="b">
        <v>0</v>
      </c>
      <c r="F18" s="50" t="b">
        <v>0</v>
      </c>
    </row>
    <row r="19">
      <c r="A19" s="35" t="s">
        <v>46</v>
      </c>
      <c r="B19" s="79">
        <v>0.75</v>
      </c>
      <c r="C19" s="50" t="b">
        <v>0</v>
      </c>
      <c r="D19" s="50" t="b">
        <v>0</v>
      </c>
      <c r="E19" s="50" t="b">
        <v>0</v>
      </c>
      <c r="F19" s="50" t="b">
        <v>0</v>
      </c>
    </row>
    <row r="20">
      <c r="A20" s="35" t="s">
        <v>47</v>
      </c>
      <c r="B20" s="79">
        <v>0.4</v>
      </c>
      <c r="C20" s="50" t="b">
        <v>0</v>
      </c>
      <c r="D20" s="50" t="b">
        <v>0</v>
      </c>
      <c r="E20" s="50" t="b">
        <v>0</v>
      </c>
      <c r="F20" s="50" t="b">
        <v>0</v>
      </c>
    </row>
    <row r="21">
      <c r="A21" s="35" t="s">
        <v>48</v>
      </c>
      <c r="B21" s="79">
        <v>0.3</v>
      </c>
      <c r="C21" s="50" t="b">
        <v>0</v>
      </c>
      <c r="D21" s="50" t="b">
        <v>0</v>
      </c>
      <c r="E21" s="50" t="b">
        <v>0</v>
      </c>
      <c r="F21" s="50" t="b">
        <v>0</v>
      </c>
    </row>
    <row r="22">
      <c r="A22" s="35"/>
      <c r="B22" s="35"/>
      <c r="C22" s="35"/>
      <c r="D22" s="35"/>
      <c r="E22" s="35"/>
      <c r="F22" s="35"/>
    </row>
    <row r="23">
      <c r="A23" s="80" t="s">
        <v>49</v>
      </c>
    </row>
    <row r="25">
      <c r="A25" s="81" t="s">
        <v>50</v>
      </c>
      <c r="C25" s="82"/>
      <c r="E25" s="82"/>
      <c r="F25" s="35"/>
    </row>
    <row r="26">
      <c r="A26" s="45" t="s">
        <v>15</v>
      </c>
      <c r="B26" s="83" t="s">
        <v>16</v>
      </c>
      <c r="C26" s="77" t="s">
        <v>51</v>
      </c>
      <c r="D26" s="83" t="s">
        <v>16</v>
      </c>
      <c r="E26" s="77" t="s">
        <v>52</v>
      </c>
      <c r="F26" s="35"/>
    </row>
    <row r="27">
      <c r="A27" s="35" t="s">
        <v>53</v>
      </c>
      <c r="B27" s="79">
        <v>2.15</v>
      </c>
      <c r="C27" s="50" t="b">
        <v>0</v>
      </c>
      <c r="D27" s="79">
        <v>2.15</v>
      </c>
      <c r="E27" s="50" t="b">
        <v>0</v>
      </c>
      <c r="F27" s="35"/>
    </row>
    <row r="28">
      <c r="A28" s="35" t="s">
        <v>54</v>
      </c>
      <c r="B28" s="79">
        <v>8.0</v>
      </c>
      <c r="C28" s="50" t="b">
        <v>0</v>
      </c>
      <c r="D28" s="79">
        <v>8.0</v>
      </c>
      <c r="E28" s="50" t="b">
        <v>0</v>
      </c>
      <c r="F28" s="35"/>
    </row>
    <row r="29">
      <c r="A29" s="35" t="s">
        <v>55</v>
      </c>
      <c r="B29" s="79">
        <v>3.0</v>
      </c>
      <c r="C29" s="50" t="b">
        <v>0</v>
      </c>
      <c r="D29" s="79"/>
      <c r="E29" s="84" t="s">
        <v>56</v>
      </c>
      <c r="F29" s="35"/>
    </row>
    <row r="30">
      <c r="A30" s="35" t="s">
        <v>57</v>
      </c>
      <c r="B30" s="79">
        <v>0.1</v>
      </c>
      <c r="C30" s="50" t="b">
        <v>0</v>
      </c>
      <c r="D30" s="79"/>
      <c r="E30" s="84" t="s">
        <v>56</v>
      </c>
      <c r="F30" s="35"/>
    </row>
    <row r="31">
      <c r="A31" s="35" t="s">
        <v>58</v>
      </c>
      <c r="B31" s="79">
        <v>0.1</v>
      </c>
      <c r="C31" s="50" t="b">
        <v>0</v>
      </c>
      <c r="D31" s="79"/>
      <c r="E31" s="84" t="s">
        <v>56</v>
      </c>
      <c r="F31" s="35"/>
    </row>
    <row r="32">
      <c r="A32" s="35" t="s">
        <v>59</v>
      </c>
      <c r="B32" s="79">
        <v>0.1</v>
      </c>
      <c r="C32" s="50" t="b">
        <v>0</v>
      </c>
      <c r="D32" s="79"/>
      <c r="E32" s="84" t="s">
        <v>56</v>
      </c>
      <c r="F32" s="35"/>
    </row>
    <row r="33">
      <c r="A33" s="35" t="s">
        <v>60</v>
      </c>
      <c r="B33" s="79">
        <v>12.0</v>
      </c>
      <c r="C33" s="50" t="b">
        <v>0</v>
      </c>
      <c r="D33" s="79">
        <v>10.0</v>
      </c>
      <c r="E33" s="50" t="b">
        <v>0</v>
      </c>
      <c r="F33" s="35"/>
    </row>
    <row r="34">
      <c r="A34" s="35"/>
      <c r="B34" s="56"/>
      <c r="C34" s="35"/>
      <c r="D34" s="35"/>
      <c r="E34" s="35"/>
      <c r="F34" s="35"/>
    </row>
    <row r="35">
      <c r="A35" s="19"/>
      <c r="B35" s="41"/>
      <c r="C35" s="19"/>
      <c r="D35" s="19"/>
      <c r="E35" s="19"/>
      <c r="F35" s="19"/>
    </row>
    <row r="36">
      <c r="A36" s="19"/>
      <c r="B36" s="41"/>
      <c r="C36" s="19"/>
      <c r="D36" s="19"/>
      <c r="E36" s="19"/>
      <c r="F36" s="19"/>
    </row>
    <row r="37">
      <c r="A37" s="19"/>
      <c r="B37" s="41"/>
      <c r="C37" s="19"/>
      <c r="D37" s="19"/>
      <c r="E37" s="19"/>
      <c r="F37" s="19"/>
    </row>
    <row r="38">
      <c r="A38" s="85" t="s">
        <v>61</v>
      </c>
      <c r="B38" s="41"/>
      <c r="C38" s="19"/>
      <c r="D38" s="19"/>
      <c r="E38" s="19"/>
      <c r="F38" s="19"/>
    </row>
    <row r="39">
      <c r="A39" s="86" t="s">
        <v>62</v>
      </c>
      <c r="B39" s="19"/>
      <c r="F39" s="19"/>
    </row>
    <row r="40">
      <c r="A40" s="87" t="s">
        <v>15</v>
      </c>
      <c r="B40" s="88"/>
      <c r="C40" s="89" t="s">
        <v>16</v>
      </c>
      <c r="D40" s="90" t="s">
        <v>63</v>
      </c>
      <c r="E40" s="90" t="s">
        <v>64</v>
      </c>
      <c r="F40" s="58"/>
    </row>
    <row r="41">
      <c r="A41" s="58" t="s">
        <v>65</v>
      </c>
      <c r="B41" s="23"/>
      <c r="C41" s="91">
        <v>5.0</v>
      </c>
      <c r="D41" s="82" t="b">
        <v>0</v>
      </c>
      <c r="E41" s="50" t="b">
        <v>0</v>
      </c>
      <c r="F41" s="58"/>
    </row>
    <row r="42">
      <c r="A42" s="58" t="s">
        <v>66</v>
      </c>
      <c r="B42" s="23"/>
      <c r="C42" s="91">
        <v>0.01</v>
      </c>
      <c r="D42" s="82" t="b">
        <v>0</v>
      </c>
      <c r="E42" s="50" t="b">
        <v>0</v>
      </c>
      <c r="F42" s="58"/>
    </row>
    <row r="43">
      <c r="A43" s="92" t="s">
        <v>67</v>
      </c>
      <c r="B43" s="93"/>
      <c r="C43" s="93"/>
      <c r="D43" s="93"/>
      <c r="E43" s="93"/>
      <c r="F43" s="93"/>
    </row>
    <row r="44">
      <c r="A44" s="94" t="s">
        <v>68</v>
      </c>
    </row>
    <row r="45">
      <c r="A45" s="92" t="s">
        <v>69</v>
      </c>
      <c r="B45" s="93"/>
      <c r="C45" s="93"/>
      <c r="D45" s="93"/>
      <c r="E45" s="93"/>
      <c r="F45" s="93"/>
    </row>
    <row r="46">
      <c r="A46" s="95" t="s">
        <v>70</v>
      </c>
      <c r="B46" s="93"/>
      <c r="C46" s="93"/>
      <c r="D46" s="93"/>
      <c r="E46" s="93"/>
      <c r="F46" s="93"/>
    </row>
    <row r="47">
      <c r="A47" s="96" t="s">
        <v>71</v>
      </c>
    </row>
    <row r="49">
      <c r="A49" s="95" t="s">
        <v>72</v>
      </c>
      <c r="B49" s="93"/>
      <c r="C49" s="93"/>
      <c r="D49" s="93"/>
      <c r="E49" s="93"/>
      <c r="F49" s="93"/>
    </row>
    <row r="50">
      <c r="A50" s="90" t="s">
        <v>73</v>
      </c>
      <c r="B50" s="93"/>
      <c r="C50" s="93"/>
      <c r="D50" s="93"/>
      <c r="E50" s="93"/>
      <c r="F50" s="97"/>
    </row>
    <row r="51">
      <c r="A51" s="86" t="s">
        <v>74</v>
      </c>
      <c r="B51" s="19"/>
    </row>
    <row r="52">
      <c r="A52" s="98" t="s">
        <v>15</v>
      </c>
      <c r="B52" s="99" t="s">
        <v>16</v>
      </c>
      <c r="C52" s="100" t="s">
        <v>63</v>
      </c>
      <c r="D52" s="90" t="s">
        <v>64</v>
      </c>
      <c r="E52" s="90" t="s">
        <v>75</v>
      </c>
      <c r="F52" s="90" t="s">
        <v>76</v>
      </c>
    </row>
    <row r="53">
      <c r="A53" s="58" t="s">
        <v>77</v>
      </c>
      <c r="B53" s="91">
        <v>2.5</v>
      </c>
      <c r="C53" s="82" t="b">
        <v>0</v>
      </c>
      <c r="D53" s="50" t="b">
        <v>0</v>
      </c>
      <c r="E53" s="101" t="s">
        <v>78</v>
      </c>
      <c r="F53" s="102" t="s">
        <v>78</v>
      </c>
    </row>
    <row r="54">
      <c r="A54" s="58" t="s">
        <v>65</v>
      </c>
      <c r="B54" s="91">
        <v>2.5</v>
      </c>
      <c r="C54" s="101" t="s">
        <v>78</v>
      </c>
      <c r="D54" s="101" t="s">
        <v>78</v>
      </c>
      <c r="E54" s="82" t="b">
        <v>0</v>
      </c>
      <c r="F54" s="50" t="b">
        <v>0</v>
      </c>
    </row>
    <row r="55">
      <c r="A55" s="92" t="s">
        <v>79</v>
      </c>
      <c r="B55" s="93"/>
      <c r="C55" s="93"/>
      <c r="D55" s="93"/>
      <c r="E55" s="93"/>
      <c r="F55" s="93"/>
    </row>
    <row r="56">
      <c r="A56" s="94" t="s">
        <v>80</v>
      </c>
    </row>
    <row r="57">
      <c r="A57" s="92" t="s">
        <v>81</v>
      </c>
      <c r="B57" s="93"/>
      <c r="C57" s="93"/>
      <c r="D57" s="93"/>
      <c r="E57" s="93"/>
      <c r="F57" s="93"/>
    </row>
    <row r="58">
      <c r="A58" s="95" t="s">
        <v>82</v>
      </c>
      <c r="B58" s="93"/>
      <c r="C58" s="93"/>
      <c r="D58" s="93"/>
      <c r="E58" s="93"/>
      <c r="F58" s="93"/>
    </row>
    <row r="59">
      <c r="A59" s="96" t="s">
        <v>83</v>
      </c>
    </row>
    <row r="61">
      <c r="A61" s="95" t="s">
        <v>84</v>
      </c>
      <c r="B61" s="93"/>
      <c r="C61" s="93"/>
      <c r="D61" s="93"/>
      <c r="E61" s="93"/>
      <c r="F61" s="93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103" t="s">
        <v>85</v>
      </c>
      <c r="E64" s="2"/>
      <c r="F64" s="2"/>
    </row>
    <row r="65">
      <c r="A65" s="104" t="s">
        <v>86</v>
      </c>
      <c r="B65" s="105" t="s">
        <v>16</v>
      </c>
      <c r="C65" s="106" t="s">
        <v>87</v>
      </c>
      <c r="D65" s="106" t="s">
        <v>88</v>
      </c>
      <c r="E65" s="107" t="s">
        <v>89</v>
      </c>
      <c r="F65" s="108" t="s">
        <v>90</v>
      </c>
    </row>
    <row r="66">
      <c r="A66" s="60" t="s">
        <v>91</v>
      </c>
      <c r="B66" s="109">
        <v>0.125</v>
      </c>
      <c r="C66" s="110" t="b">
        <v>1</v>
      </c>
      <c r="D66" s="50" t="b">
        <v>0</v>
      </c>
      <c r="E66" s="111" t="b">
        <v>0</v>
      </c>
      <c r="F66" s="82" t="b">
        <v>0</v>
      </c>
    </row>
    <row r="67">
      <c r="A67" s="60" t="s">
        <v>92</v>
      </c>
      <c r="B67" s="109">
        <v>0.125</v>
      </c>
      <c r="C67" s="50" t="b">
        <v>0</v>
      </c>
      <c r="D67" s="50" t="b">
        <v>0</v>
      </c>
      <c r="E67" s="111" t="b">
        <v>0</v>
      </c>
      <c r="F67" s="82" t="b">
        <v>0</v>
      </c>
    </row>
    <row r="68">
      <c r="A68" s="60" t="s">
        <v>93</v>
      </c>
      <c r="B68" s="109">
        <v>1.0</v>
      </c>
      <c r="C68" s="50" t="b">
        <v>0</v>
      </c>
      <c r="D68" s="50" t="b">
        <v>0</v>
      </c>
      <c r="E68" s="111" t="b">
        <v>0</v>
      </c>
      <c r="F68" s="82" t="b">
        <v>0</v>
      </c>
    </row>
    <row r="69">
      <c r="A69" s="60" t="s">
        <v>94</v>
      </c>
      <c r="B69" s="109">
        <v>1.0</v>
      </c>
      <c r="C69" s="50" t="b">
        <v>0</v>
      </c>
      <c r="D69" s="50" t="b">
        <v>0</v>
      </c>
      <c r="E69" s="111" t="b">
        <v>0</v>
      </c>
      <c r="F69" s="82" t="b">
        <v>0</v>
      </c>
    </row>
    <row r="70">
      <c r="A70" s="112" t="s">
        <v>95</v>
      </c>
      <c r="B70" s="109">
        <v>1.0</v>
      </c>
      <c r="C70" s="50" t="b">
        <v>0</v>
      </c>
      <c r="D70" s="50" t="b">
        <v>0</v>
      </c>
      <c r="E70" s="111" t="b">
        <v>0</v>
      </c>
      <c r="F70" s="82" t="b">
        <v>0</v>
      </c>
    </row>
    <row r="71">
      <c r="A71" s="2"/>
      <c r="B71" s="2"/>
      <c r="C71" s="2"/>
      <c r="D71" s="2"/>
      <c r="E71" s="2"/>
      <c r="F71" s="2"/>
    </row>
    <row r="72">
      <c r="A72" s="113" t="s">
        <v>96</v>
      </c>
    </row>
  </sheetData>
  <mergeCells count="24">
    <mergeCell ref="A1:F1"/>
    <mergeCell ref="B3:C3"/>
    <mergeCell ref="A4:A6"/>
    <mergeCell ref="B4:C4"/>
    <mergeCell ref="B5:C5"/>
    <mergeCell ref="B6:C6"/>
    <mergeCell ref="A7:A9"/>
    <mergeCell ref="B9:C9"/>
    <mergeCell ref="B7:C7"/>
    <mergeCell ref="B8:C8"/>
    <mergeCell ref="A10:A11"/>
    <mergeCell ref="B10:C10"/>
    <mergeCell ref="D10:D11"/>
    <mergeCell ref="E10:E11"/>
    <mergeCell ref="F10:F11"/>
    <mergeCell ref="A64:D64"/>
    <mergeCell ref="A72:F73"/>
    <mergeCell ref="B11:C11"/>
    <mergeCell ref="A16:F16"/>
    <mergeCell ref="A23:F24"/>
    <mergeCell ref="A44:F44"/>
    <mergeCell ref="A47:F48"/>
    <mergeCell ref="A56:F56"/>
    <mergeCell ref="A59:F6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97</v>
      </c>
      <c r="G1" s="114" t="s">
        <v>98</v>
      </c>
    </row>
    <row r="2">
      <c r="A2" s="7"/>
      <c r="B2" s="115"/>
      <c r="C2" s="116" t="s">
        <v>99</v>
      </c>
      <c r="D2" s="115"/>
      <c r="E2" s="115"/>
      <c r="F2" s="115"/>
    </row>
    <row r="3">
      <c r="A3" s="7" t="s">
        <v>2</v>
      </c>
      <c r="B3" s="8" t="s">
        <v>3</v>
      </c>
      <c r="C3" s="9"/>
      <c r="D3" s="10" t="s">
        <v>4</v>
      </c>
      <c r="E3" s="10" t="s">
        <v>5</v>
      </c>
      <c r="F3" s="11" t="s">
        <v>6</v>
      </c>
    </row>
    <row r="4">
      <c r="A4" s="62" t="s">
        <v>33</v>
      </c>
      <c r="B4" s="13" t="s">
        <v>8</v>
      </c>
      <c r="C4" s="18"/>
      <c r="D4" s="15"/>
      <c r="E4" s="15"/>
      <c r="F4" s="15"/>
    </row>
    <row r="5">
      <c r="A5" s="63"/>
      <c r="B5" s="117" t="s">
        <v>100</v>
      </c>
      <c r="C5" s="14"/>
      <c r="D5" s="17"/>
      <c r="E5" s="15"/>
      <c r="F5" s="15"/>
    </row>
    <row r="6">
      <c r="A6" s="65"/>
      <c r="B6" s="118"/>
      <c r="C6" s="21"/>
      <c r="D6" s="67"/>
      <c r="E6" s="67"/>
      <c r="F6" s="67"/>
    </row>
    <row r="7">
      <c r="A7" s="68" t="s">
        <v>36</v>
      </c>
      <c r="B7" s="26" t="s">
        <v>37</v>
      </c>
      <c r="C7" s="18"/>
      <c r="D7" s="24"/>
      <c r="E7" s="24"/>
      <c r="F7" s="24"/>
    </row>
    <row r="8">
      <c r="A8" s="25"/>
      <c r="B8" s="26" t="s">
        <v>38</v>
      </c>
      <c r="C8" s="18"/>
      <c r="D8" s="24"/>
      <c r="E8" s="24"/>
      <c r="F8" s="24"/>
    </row>
    <row r="9">
      <c r="A9" s="27"/>
      <c r="B9" s="69" t="s">
        <v>39</v>
      </c>
      <c r="C9" s="29"/>
      <c r="D9" s="70"/>
      <c r="E9" s="70"/>
      <c r="F9" s="70"/>
    </row>
    <row r="10">
      <c r="A10" s="71" t="s">
        <v>11</v>
      </c>
      <c r="B10" s="72" t="s">
        <v>101</v>
      </c>
      <c r="C10" s="18"/>
      <c r="D10" s="32"/>
      <c r="E10" s="32"/>
      <c r="F10" s="32"/>
    </row>
    <row r="11">
      <c r="A11" s="73"/>
      <c r="B11" s="74" t="s">
        <v>41</v>
      </c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119" t="s">
        <v>102</v>
      </c>
    </row>
    <row r="14">
      <c r="A14" s="66" t="s">
        <v>103</v>
      </c>
      <c r="B14" s="76" t="s">
        <v>16</v>
      </c>
      <c r="C14" s="120" t="s">
        <v>104</v>
      </c>
      <c r="D14" s="45" t="s">
        <v>104</v>
      </c>
      <c r="E14" s="45" t="s">
        <v>105</v>
      </c>
      <c r="F14" s="77" t="s">
        <v>105</v>
      </c>
    </row>
    <row r="15">
      <c r="A15" s="121" t="s">
        <v>106</v>
      </c>
      <c r="B15" s="122">
        <v>15.0</v>
      </c>
      <c r="C15" s="50" t="b">
        <v>0</v>
      </c>
      <c r="D15" s="50" t="b">
        <v>0</v>
      </c>
      <c r="E15" s="50" t="b">
        <v>0</v>
      </c>
      <c r="F15" s="50" t="b">
        <v>0</v>
      </c>
    </row>
    <row r="16">
      <c r="A16" s="123" t="s">
        <v>107</v>
      </c>
      <c r="B16" s="124">
        <v>7.55</v>
      </c>
      <c r="C16" s="50" t="b">
        <v>0</v>
      </c>
      <c r="D16" s="50" t="b">
        <v>0</v>
      </c>
      <c r="E16" s="50" t="b">
        <v>0</v>
      </c>
      <c r="F16" s="50" t="b">
        <v>0</v>
      </c>
    </row>
    <row r="17">
      <c r="A17" s="123" t="s">
        <v>53</v>
      </c>
      <c r="B17" s="124">
        <v>4.0</v>
      </c>
      <c r="C17" s="50" t="b">
        <v>0</v>
      </c>
      <c r="D17" s="50" t="b">
        <v>0</v>
      </c>
      <c r="E17" s="50" t="b">
        <v>0</v>
      </c>
      <c r="F17" s="50" t="b">
        <v>0</v>
      </c>
    </row>
    <row r="18">
      <c r="A18" s="123" t="s">
        <v>108</v>
      </c>
      <c r="B18" s="124">
        <v>0.5</v>
      </c>
      <c r="C18" s="50" t="b">
        <v>0</v>
      </c>
      <c r="D18" s="50" t="b">
        <v>0</v>
      </c>
      <c r="E18" s="50" t="b">
        <v>0</v>
      </c>
      <c r="F18" s="50" t="b">
        <v>0</v>
      </c>
    </row>
    <row r="19">
      <c r="A19" s="123" t="s">
        <v>109</v>
      </c>
      <c r="B19" s="124">
        <v>0.4</v>
      </c>
      <c r="C19" s="50" t="b">
        <v>0</v>
      </c>
      <c r="D19" s="50" t="b">
        <v>0</v>
      </c>
      <c r="E19" s="50" t="b">
        <v>0</v>
      </c>
      <c r="F19" s="50" t="b">
        <v>0</v>
      </c>
    </row>
    <row r="20">
      <c r="A20" s="123" t="s">
        <v>110</v>
      </c>
      <c r="B20" s="124">
        <v>0.3</v>
      </c>
      <c r="C20" s="50" t="b">
        <v>0</v>
      </c>
      <c r="D20" s="50" t="b">
        <v>0</v>
      </c>
      <c r="E20" s="50" t="b">
        <v>0</v>
      </c>
      <c r="F20" s="50" t="b">
        <v>0</v>
      </c>
    </row>
    <row r="21">
      <c r="A21" s="125" t="s">
        <v>111</v>
      </c>
      <c r="B21" s="2"/>
      <c r="C21" s="2"/>
      <c r="D21" s="2"/>
      <c r="E21" s="2"/>
      <c r="F21" s="19"/>
    </row>
    <row r="22">
      <c r="A22" s="45" t="s">
        <v>15</v>
      </c>
      <c r="B22" s="46" t="s">
        <v>16</v>
      </c>
      <c r="C22" s="126" t="s">
        <v>104</v>
      </c>
      <c r="D22" s="126" t="s">
        <v>104</v>
      </c>
      <c r="E22" s="127"/>
      <c r="F22" s="35"/>
    </row>
    <row r="23">
      <c r="A23" s="35" t="s">
        <v>112</v>
      </c>
      <c r="B23" s="79">
        <v>3.0</v>
      </c>
      <c r="C23" s="50" t="b">
        <v>0</v>
      </c>
      <c r="D23" s="50" t="b">
        <v>0</v>
      </c>
      <c r="E23" s="127"/>
      <c r="F23" s="35"/>
    </row>
    <row r="24">
      <c r="A24" s="78" t="s">
        <v>113</v>
      </c>
      <c r="B24" s="79">
        <v>0.03</v>
      </c>
      <c r="C24" s="50" t="b">
        <v>0</v>
      </c>
      <c r="D24" s="50" t="b">
        <v>0</v>
      </c>
      <c r="E24" s="127"/>
      <c r="F24" s="35"/>
    </row>
    <row r="25">
      <c r="A25" s="35"/>
      <c r="B25" s="35"/>
      <c r="C25" s="35"/>
      <c r="D25" s="35"/>
      <c r="E25" s="35"/>
      <c r="F25" s="35"/>
    </row>
    <row r="26">
      <c r="A26" s="86" t="s">
        <v>114</v>
      </c>
      <c r="B26" s="19"/>
      <c r="D26" s="36"/>
      <c r="E26" s="19"/>
      <c r="F26" s="19"/>
    </row>
    <row r="27">
      <c r="A27" s="93"/>
      <c r="B27" s="128"/>
      <c r="C27" s="23"/>
      <c r="D27" s="23"/>
      <c r="E27" s="58"/>
      <c r="F27" s="58"/>
    </row>
    <row r="28">
      <c r="A28" s="98" t="s">
        <v>15</v>
      </c>
      <c r="B28" s="129" t="s">
        <v>16</v>
      </c>
      <c r="C28" s="130" t="s">
        <v>63</v>
      </c>
      <c r="D28" s="131" t="s">
        <v>64</v>
      </c>
      <c r="E28" s="132" t="s">
        <v>75</v>
      </c>
      <c r="F28" s="132" t="s">
        <v>76</v>
      </c>
    </row>
    <row r="29">
      <c r="A29" s="58" t="s">
        <v>115</v>
      </c>
      <c r="B29" s="91">
        <v>2.0</v>
      </c>
      <c r="C29" s="50" t="b">
        <v>0</v>
      </c>
      <c r="D29" s="50" t="b">
        <v>0</v>
      </c>
      <c r="E29" s="133" t="s">
        <v>78</v>
      </c>
      <c r="F29" s="133" t="s">
        <v>78</v>
      </c>
    </row>
    <row r="30">
      <c r="A30" s="58" t="s">
        <v>116</v>
      </c>
      <c r="B30" s="91">
        <v>5.0</v>
      </c>
      <c r="C30" s="133" t="s">
        <v>78</v>
      </c>
      <c r="D30" s="133" t="s">
        <v>78</v>
      </c>
      <c r="E30" s="50" t="b">
        <v>0</v>
      </c>
      <c r="F30" s="50" t="b">
        <v>0</v>
      </c>
    </row>
    <row r="31">
      <c r="A31" s="58" t="s">
        <v>117</v>
      </c>
      <c r="B31" s="134">
        <v>0.01</v>
      </c>
      <c r="C31" s="133" t="s">
        <v>78</v>
      </c>
      <c r="D31" s="133" t="s">
        <v>78</v>
      </c>
      <c r="E31" s="50" t="b">
        <v>0</v>
      </c>
      <c r="F31" s="50" t="b">
        <v>0</v>
      </c>
    </row>
    <row r="32">
      <c r="A32" s="23"/>
      <c r="B32" s="23"/>
      <c r="C32" s="23"/>
      <c r="D32" s="58"/>
      <c r="E32" s="58"/>
      <c r="F32" s="58"/>
    </row>
    <row r="33">
      <c r="A33" s="92" t="s">
        <v>118</v>
      </c>
      <c r="B33" s="93"/>
      <c r="C33" s="93"/>
      <c r="D33" s="93"/>
      <c r="E33" s="93"/>
      <c r="F33" s="93"/>
    </row>
    <row r="34">
      <c r="A34" s="92" t="s">
        <v>119</v>
      </c>
      <c r="B34" s="93"/>
      <c r="C34" s="93"/>
      <c r="D34" s="93"/>
      <c r="E34" s="93"/>
      <c r="F34" s="93"/>
    </row>
    <row r="35">
      <c r="A35" s="135" t="s">
        <v>120</v>
      </c>
      <c r="B35" s="58"/>
      <c r="C35" s="58"/>
      <c r="D35" s="23"/>
      <c r="E35" s="93"/>
      <c r="F35" s="93"/>
    </row>
    <row r="36">
      <c r="A36" s="92" t="s">
        <v>121</v>
      </c>
      <c r="B36" s="93"/>
      <c r="C36" s="93"/>
      <c r="D36" s="93"/>
      <c r="E36" s="23"/>
      <c r="F36" s="93"/>
    </row>
    <row r="37">
      <c r="A37" s="95" t="s">
        <v>122</v>
      </c>
      <c r="B37" s="93"/>
      <c r="C37" s="93"/>
      <c r="D37" s="93"/>
      <c r="E37" s="93"/>
      <c r="F37" s="93"/>
    </row>
    <row r="38">
      <c r="A38" s="136" t="s">
        <v>123</v>
      </c>
    </row>
    <row r="40">
      <c r="A40" s="95" t="s">
        <v>124</v>
      </c>
      <c r="B40" s="93"/>
      <c r="C40" s="93"/>
      <c r="D40" s="93"/>
      <c r="E40" s="93"/>
      <c r="F40" s="93"/>
    </row>
    <row r="41">
      <c r="A41" s="19"/>
      <c r="B41" s="19"/>
      <c r="C41" s="36"/>
      <c r="D41" s="19"/>
      <c r="E41" s="19"/>
      <c r="F41" s="19"/>
    </row>
    <row r="42">
      <c r="A42" s="86" t="s">
        <v>114</v>
      </c>
      <c r="B42" s="19"/>
      <c r="C42" s="36"/>
      <c r="D42" s="19"/>
      <c r="E42" s="19"/>
      <c r="F42" s="19"/>
    </row>
    <row r="43">
      <c r="A43" s="98" t="s">
        <v>15</v>
      </c>
      <c r="B43" s="129" t="s">
        <v>16</v>
      </c>
      <c r="C43" s="100" t="s">
        <v>63</v>
      </c>
      <c r="D43" s="90" t="s">
        <v>64</v>
      </c>
      <c r="E43" s="90" t="s">
        <v>75</v>
      </c>
      <c r="F43" s="90" t="s">
        <v>76</v>
      </c>
    </row>
    <row r="44">
      <c r="A44" s="58" t="s">
        <v>115</v>
      </c>
      <c r="B44" s="91">
        <v>2.0</v>
      </c>
      <c r="C44" s="50" t="b">
        <v>0</v>
      </c>
      <c r="D44" s="50" t="b">
        <v>0</v>
      </c>
      <c r="E44" s="133" t="s">
        <v>78</v>
      </c>
      <c r="F44" s="133" t="s">
        <v>78</v>
      </c>
    </row>
    <row r="45">
      <c r="A45" s="58" t="s">
        <v>116</v>
      </c>
      <c r="B45" s="91">
        <v>3.0</v>
      </c>
      <c r="C45" s="133" t="s">
        <v>78</v>
      </c>
      <c r="D45" s="133" t="s">
        <v>78</v>
      </c>
      <c r="E45" s="50" t="b">
        <v>0</v>
      </c>
      <c r="F45" s="50" t="b">
        <v>0</v>
      </c>
    </row>
    <row r="46">
      <c r="A46" s="58" t="s">
        <v>117</v>
      </c>
      <c r="B46" s="91">
        <v>0.01</v>
      </c>
      <c r="C46" s="133" t="s">
        <v>78</v>
      </c>
      <c r="D46" s="133" t="s">
        <v>78</v>
      </c>
      <c r="E46" s="50" t="b">
        <v>0</v>
      </c>
      <c r="F46" s="50" t="b">
        <v>0</v>
      </c>
    </row>
    <row r="47">
      <c r="A47" s="92" t="s">
        <v>125</v>
      </c>
      <c r="B47" s="93"/>
      <c r="C47" s="93"/>
      <c r="D47" s="93"/>
      <c r="E47" s="93"/>
      <c r="F47" s="93"/>
    </row>
    <row r="48">
      <c r="A48" s="92" t="s">
        <v>126</v>
      </c>
      <c r="B48" s="93"/>
      <c r="C48" s="93"/>
      <c r="D48" s="93"/>
      <c r="E48" s="93"/>
      <c r="F48" s="93"/>
    </row>
    <row r="49">
      <c r="A49" s="92" t="s">
        <v>127</v>
      </c>
      <c r="B49" s="93"/>
      <c r="C49" s="93"/>
      <c r="D49" s="93"/>
      <c r="E49" s="93"/>
      <c r="F49" s="93"/>
    </row>
    <row r="50">
      <c r="A50" s="92" t="s">
        <v>128</v>
      </c>
      <c r="B50" s="93"/>
      <c r="C50" s="93"/>
      <c r="D50" s="93"/>
      <c r="E50" s="93"/>
      <c r="F50" s="93"/>
    </row>
    <row r="51">
      <c r="A51" s="95" t="s">
        <v>129</v>
      </c>
      <c r="B51" s="93"/>
      <c r="C51" s="93"/>
      <c r="D51" s="93"/>
      <c r="E51" s="93"/>
      <c r="F51" s="93"/>
    </row>
    <row r="52">
      <c r="A52" s="137" t="s">
        <v>130</v>
      </c>
    </row>
    <row r="54">
      <c r="A54" s="95" t="s">
        <v>131</v>
      </c>
      <c r="B54" s="93"/>
      <c r="C54" s="93"/>
      <c r="D54" s="93"/>
      <c r="E54" s="93"/>
      <c r="F54" s="93"/>
    </row>
    <row r="55">
      <c r="A55" s="103" t="s">
        <v>132</v>
      </c>
      <c r="E55" s="2"/>
      <c r="F55" s="2"/>
    </row>
    <row r="56">
      <c r="A56" s="104" t="s">
        <v>86</v>
      </c>
      <c r="B56" s="105" t="s">
        <v>16</v>
      </c>
      <c r="C56" s="106" t="s">
        <v>87</v>
      </c>
      <c r="D56" s="106" t="s">
        <v>133</v>
      </c>
      <c r="E56" s="107" t="s">
        <v>89</v>
      </c>
      <c r="F56" s="108" t="s">
        <v>90</v>
      </c>
    </row>
    <row r="57">
      <c r="A57" s="138" t="s">
        <v>134</v>
      </c>
      <c r="B57" s="109">
        <v>0.1</v>
      </c>
      <c r="C57" s="139" t="b">
        <v>0</v>
      </c>
      <c r="D57" s="50" t="b">
        <v>0</v>
      </c>
      <c r="E57" s="139" t="b">
        <v>0</v>
      </c>
      <c r="F57" s="50" t="b">
        <v>0</v>
      </c>
    </row>
    <row r="58">
      <c r="A58" s="140" t="s">
        <v>135</v>
      </c>
      <c r="B58" s="141">
        <v>0.25</v>
      </c>
      <c r="C58" s="142" t="b">
        <v>0</v>
      </c>
      <c r="D58" s="110" t="b">
        <v>0</v>
      </c>
      <c r="E58" s="142" t="b">
        <v>0</v>
      </c>
      <c r="F58" s="110" t="b">
        <v>0</v>
      </c>
    </row>
    <row r="59">
      <c r="A59" s="138" t="s">
        <v>94</v>
      </c>
      <c r="B59" s="109">
        <v>1.5</v>
      </c>
      <c r="C59" s="142" t="b">
        <v>0</v>
      </c>
      <c r="D59" s="50" t="b">
        <v>0</v>
      </c>
      <c r="E59" s="142" t="b">
        <v>0</v>
      </c>
      <c r="F59" s="50" t="b">
        <v>0</v>
      </c>
    </row>
    <row r="60">
      <c r="A60" s="60" t="s">
        <v>93</v>
      </c>
      <c r="B60" s="109">
        <v>1.5</v>
      </c>
      <c r="C60" s="142" t="b">
        <v>0</v>
      </c>
      <c r="D60" s="50" t="b">
        <v>0</v>
      </c>
      <c r="E60" s="142" t="b">
        <v>0</v>
      </c>
      <c r="F60" s="50" t="b">
        <v>0</v>
      </c>
    </row>
    <row r="61">
      <c r="A61" s="60" t="s">
        <v>136</v>
      </c>
      <c r="B61" s="109">
        <v>2.0</v>
      </c>
      <c r="C61" s="142" t="b">
        <v>0</v>
      </c>
      <c r="D61" s="50" t="b">
        <v>0</v>
      </c>
      <c r="E61" s="142" t="b">
        <v>0</v>
      </c>
      <c r="F61" s="50" t="b">
        <v>0</v>
      </c>
    </row>
    <row r="62">
      <c r="A62" s="60" t="s">
        <v>92</v>
      </c>
      <c r="B62" s="109">
        <v>0.025</v>
      </c>
      <c r="C62" s="142" t="b">
        <v>0</v>
      </c>
      <c r="D62" s="50" t="b">
        <v>0</v>
      </c>
      <c r="E62" s="142" t="b">
        <v>0</v>
      </c>
      <c r="F62" s="50" t="b">
        <v>0</v>
      </c>
    </row>
    <row r="63">
      <c r="A63" s="60" t="s">
        <v>137</v>
      </c>
      <c r="B63" s="109">
        <v>0.025</v>
      </c>
      <c r="C63" s="142" t="b">
        <v>0</v>
      </c>
      <c r="D63" s="50" t="b">
        <v>0</v>
      </c>
      <c r="E63" s="142" t="b">
        <v>0</v>
      </c>
      <c r="F63" s="50" t="b">
        <v>0</v>
      </c>
    </row>
    <row r="64">
      <c r="A64" s="140" t="s">
        <v>138</v>
      </c>
      <c r="B64" s="109">
        <v>0.25</v>
      </c>
      <c r="C64" s="142" t="b">
        <v>0</v>
      </c>
      <c r="D64" s="50" t="b">
        <v>0</v>
      </c>
      <c r="E64" s="142" t="b">
        <v>0</v>
      </c>
      <c r="F64" s="50" t="b">
        <v>0</v>
      </c>
    </row>
    <row r="65">
      <c r="A65" s="60"/>
      <c r="B65" s="143"/>
      <c r="C65" s="60"/>
      <c r="D65" s="60"/>
      <c r="E65" s="60"/>
      <c r="F65" s="60"/>
    </row>
    <row r="66">
      <c r="A66" s="144" t="s">
        <v>139</v>
      </c>
    </row>
  </sheetData>
  <mergeCells count="21">
    <mergeCell ref="A1:F1"/>
    <mergeCell ref="B3:C3"/>
    <mergeCell ref="A4:A6"/>
    <mergeCell ref="B4:C4"/>
    <mergeCell ref="B5:C5"/>
    <mergeCell ref="B6:C6"/>
    <mergeCell ref="A7:A9"/>
    <mergeCell ref="B9:C9"/>
    <mergeCell ref="B11:C11"/>
    <mergeCell ref="A13:F13"/>
    <mergeCell ref="A38:F39"/>
    <mergeCell ref="A52:F53"/>
    <mergeCell ref="A55:D55"/>
    <mergeCell ref="A66:F67"/>
    <mergeCell ref="B7:C7"/>
    <mergeCell ref="B8:C8"/>
    <mergeCell ref="A10:A11"/>
    <mergeCell ref="B10:C10"/>
    <mergeCell ref="D10:D11"/>
    <mergeCell ref="E10:E11"/>
    <mergeCell ref="F10:F1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38"/>
  </cols>
  <sheetData>
    <row r="1">
      <c r="A1" s="1" t="s">
        <v>140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5"/>
      <c r="B2" s="146"/>
      <c r="C2" s="147" t="s">
        <v>141</v>
      </c>
      <c r="D2" s="142"/>
      <c r="E2" s="142"/>
      <c r="F2" s="14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2</v>
      </c>
      <c r="B3" s="8" t="s">
        <v>3</v>
      </c>
      <c r="C3" s="9"/>
      <c r="D3" s="10" t="s">
        <v>4</v>
      </c>
      <c r="E3" s="10" t="s">
        <v>5</v>
      </c>
      <c r="F3" s="11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2" t="s">
        <v>33</v>
      </c>
      <c r="B4" s="13" t="s">
        <v>8</v>
      </c>
      <c r="C4" s="18"/>
      <c r="D4" s="15"/>
      <c r="E4" s="15"/>
      <c r="F4" s="15"/>
      <c r="G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3"/>
      <c r="B5" s="148" t="s">
        <v>35</v>
      </c>
      <c r="D5" s="149"/>
      <c r="E5" s="15"/>
      <c r="F5" s="15"/>
      <c r="G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5"/>
      <c r="B6" s="150"/>
      <c r="C6" s="9"/>
      <c r="D6" s="151"/>
      <c r="E6" s="67"/>
      <c r="F6" s="67"/>
      <c r="G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2" t="s">
        <v>36</v>
      </c>
      <c r="B7" s="26" t="s">
        <v>142</v>
      </c>
      <c r="C7" s="18"/>
      <c r="D7" s="24"/>
      <c r="E7" s="24"/>
      <c r="F7" s="2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5"/>
      <c r="B8" s="26" t="s">
        <v>143</v>
      </c>
      <c r="C8" s="18"/>
      <c r="D8" s="14"/>
      <c r="E8" s="14"/>
      <c r="F8" s="1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7"/>
      <c r="B9" s="152"/>
      <c r="C9" s="29"/>
      <c r="D9" s="21"/>
      <c r="E9" s="21"/>
      <c r="F9" s="2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3" t="s">
        <v>11</v>
      </c>
      <c r="B10" s="154" t="s">
        <v>144</v>
      </c>
      <c r="C10" s="29"/>
      <c r="D10" s="155"/>
      <c r="E10" s="155"/>
      <c r="F10" s="155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"/>
      <c r="U11" s="2"/>
      <c r="V11" s="2"/>
      <c r="W11" s="2"/>
      <c r="X11" s="2"/>
      <c r="Y11" s="2"/>
      <c r="Z11" s="2"/>
    </row>
    <row r="12">
      <c r="A12" s="86" t="s">
        <v>145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2"/>
      <c r="U12" s="2"/>
      <c r="V12" s="2"/>
      <c r="W12" s="2"/>
      <c r="X12" s="2"/>
      <c r="Y12" s="2"/>
      <c r="Z12" s="2"/>
    </row>
    <row r="13">
      <c r="A13" s="58"/>
      <c r="B13" s="58"/>
      <c r="C13" s="58"/>
      <c r="D13" s="58"/>
      <c r="E13" s="58"/>
      <c r="F13" s="5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2"/>
      <c r="U13" s="2"/>
      <c r="V13" s="2"/>
      <c r="W13" s="2"/>
      <c r="X13" s="2"/>
      <c r="Y13" s="2"/>
      <c r="Z13" s="2"/>
    </row>
    <row r="14">
      <c r="A14" s="156" t="s">
        <v>86</v>
      </c>
      <c r="B14" s="157"/>
      <c r="C14" s="156" t="s">
        <v>16</v>
      </c>
      <c r="D14" s="23"/>
      <c r="E14" s="158" t="s">
        <v>17</v>
      </c>
      <c r="F14" s="158" t="s">
        <v>18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"/>
      <c r="U14" s="2"/>
      <c r="V14" s="2"/>
      <c r="W14" s="2"/>
      <c r="X14" s="2"/>
      <c r="Y14" s="2"/>
      <c r="Z14" s="2"/>
    </row>
    <row r="15">
      <c r="A15" s="159" t="s">
        <v>146</v>
      </c>
      <c r="B15" s="58"/>
      <c r="C15" s="160">
        <v>25.0</v>
      </c>
      <c r="D15" s="23"/>
      <c r="E15" s="50" t="b">
        <v>0</v>
      </c>
      <c r="F15" s="50" t="b">
        <v>0</v>
      </c>
      <c r="G15" s="19"/>
      <c r="H15" s="161"/>
      <c r="I15" s="19"/>
      <c r="J15" s="19"/>
      <c r="K15" s="36"/>
      <c r="L15" s="36"/>
      <c r="M15" s="36"/>
      <c r="N15" s="36"/>
      <c r="O15" s="36"/>
      <c r="P15" s="36"/>
      <c r="Q15" s="19"/>
      <c r="R15" s="19"/>
      <c r="S15" s="19"/>
      <c r="T15" s="2"/>
      <c r="U15" s="2"/>
      <c r="V15" s="2"/>
      <c r="W15" s="2"/>
      <c r="X15" s="2"/>
      <c r="Y15" s="2"/>
      <c r="Z15" s="2"/>
    </row>
    <row r="16">
      <c r="A16" s="159" t="s">
        <v>147</v>
      </c>
      <c r="B16" s="58"/>
      <c r="C16" s="160">
        <v>10.0</v>
      </c>
      <c r="D16" s="23"/>
      <c r="E16" s="50" t="b">
        <v>0</v>
      </c>
      <c r="F16" s="50" t="b">
        <v>0</v>
      </c>
      <c r="G16" s="19"/>
      <c r="H16" s="162"/>
      <c r="I16" s="163"/>
      <c r="J16" s="19"/>
      <c r="K16" s="164"/>
      <c r="L16" s="19"/>
      <c r="M16" s="165"/>
      <c r="N16" s="19"/>
      <c r="O16" s="166"/>
      <c r="P16" s="44"/>
      <c r="Q16" s="19"/>
      <c r="R16" s="19"/>
      <c r="S16" s="19"/>
      <c r="T16" s="2"/>
      <c r="U16" s="2"/>
      <c r="V16" s="2"/>
      <c r="W16" s="2"/>
      <c r="X16" s="2"/>
      <c r="Y16" s="2"/>
      <c r="Z16" s="2"/>
    </row>
    <row r="17">
      <c r="A17" s="135"/>
      <c r="B17" s="167"/>
      <c r="C17" s="167"/>
      <c r="D17" s="167"/>
      <c r="E17" s="167"/>
      <c r="F17" s="167"/>
      <c r="G17" s="19"/>
      <c r="H17" s="168"/>
      <c r="I17" s="163"/>
      <c r="J17" s="19"/>
      <c r="K17" s="164"/>
      <c r="L17" s="19"/>
      <c r="M17" s="165"/>
      <c r="N17" s="19"/>
      <c r="O17" s="166"/>
      <c r="P17" s="44"/>
      <c r="Q17" s="19"/>
      <c r="R17" s="19"/>
      <c r="S17" s="19"/>
      <c r="T17" s="2"/>
      <c r="U17" s="2"/>
      <c r="V17" s="2"/>
      <c r="W17" s="2"/>
      <c r="X17" s="2"/>
      <c r="Y17" s="2"/>
      <c r="Z17" s="2"/>
    </row>
    <row r="18">
      <c r="A18" s="135" t="s">
        <v>148</v>
      </c>
      <c r="B18" s="167"/>
      <c r="C18" s="167"/>
      <c r="D18" s="167"/>
      <c r="E18" s="167"/>
      <c r="F18" s="167"/>
      <c r="G18" s="19"/>
      <c r="H18" s="168"/>
      <c r="I18" s="163"/>
      <c r="J18" s="19"/>
      <c r="K18" s="164"/>
      <c r="L18" s="19"/>
      <c r="M18" s="165"/>
      <c r="N18" s="19"/>
      <c r="O18" s="166"/>
      <c r="P18" s="44"/>
      <c r="Q18" s="19"/>
      <c r="R18" s="19"/>
      <c r="S18" s="19"/>
      <c r="T18" s="2"/>
      <c r="U18" s="2"/>
      <c r="V18" s="2"/>
      <c r="W18" s="2"/>
      <c r="X18" s="2"/>
      <c r="Y18" s="2"/>
      <c r="Z18" s="2"/>
    </row>
    <row r="19">
      <c r="A19" s="90" t="s">
        <v>149</v>
      </c>
      <c r="B19" s="167"/>
      <c r="C19" s="167"/>
      <c r="D19" s="167"/>
      <c r="E19" s="167"/>
      <c r="F19" s="167"/>
      <c r="G19" s="19"/>
      <c r="H19" s="168"/>
      <c r="I19" s="163"/>
      <c r="J19" s="19"/>
      <c r="K19" s="164"/>
      <c r="L19" s="19"/>
      <c r="M19" s="165"/>
      <c r="N19" s="19"/>
      <c r="O19" s="166"/>
      <c r="P19" s="44"/>
      <c r="Q19" s="19"/>
      <c r="R19" s="19"/>
      <c r="S19" s="19"/>
      <c r="T19" s="2"/>
      <c r="U19" s="2"/>
      <c r="V19" s="2"/>
      <c r="W19" s="2"/>
      <c r="X19" s="2"/>
      <c r="Y19" s="2"/>
      <c r="Z19" s="2"/>
    </row>
    <row r="20">
      <c r="A20" s="19"/>
      <c r="B20" s="19"/>
      <c r="C20" s="41"/>
      <c r="D20" s="19"/>
      <c r="E20" s="19"/>
      <c r="F20" s="19"/>
      <c r="G20" s="19"/>
      <c r="H20" s="168"/>
      <c r="I20" s="163"/>
      <c r="J20" s="163"/>
      <c r="K20" s="164"/>
      <c r="L20" s="19"/>
      <c r="M20" s="165"/>
      <c r="N20" s="19"/>
      <c r="O20" s="166"/>
      <c r="P20" s="44"/>
      <c r="Q20" s="19"/>
      <c r="R20" s="19"/>
      <c r="S20" s="19"/>
      <c r="T20" s="2"/>
      <c r="U20" s="2"/>
      <c r="V20" s="2"/>
      <c r="W20" s="2"/>
      <c r="X20" s="2"/>
      <c r="Y20" s="2"/>
      <c r="Z20" s="2"/>
    </row>
    <row r="21">
      <c r="A21" s="85" t="s">
        <v>150</v>
      </c>
      <c r="B21" s="19"/>
      <c r="C21" s="41"/>
      <c r="D21" s="19"/>
      <c r="E21" s="19"/>
      <c r="F21" s="19"/>
      <c r="G21" s="19"/>
      <c r="H21" s="168"/>
      <c r="I21" s="163"/>
      <c r="J21" s="163"/>
      <c r="K21" s="164"/>
      <c r="L21" s="19"/>
      <c r="M21" s="165"/>
      <c r="N21" s="19"/>
      <c r="O21" s="166"/>
      <c r="P21" s="44"/>
      <c r="Q21" s="19"/>
      <c r="R21" s="19"/>
      <c r="S21" s="19"/>
      <c r="T21" s="2"/>
      <c r="U21" s="2"/>
      <c r="V21" s="2"/>
      <c r="W21" s="2"/>
      <c r="X21" s="2"/>
      <c r="Y21" s="2"/>
      <c r="Z21" s="2"/>
    </row>
    <row r="22">
      <c r="A22" s="169" t="s">
        <v>86</v>
      </c>
      <c r="B22" s="170" t="s">
        <v>16</v>
      </c>
      <c r="C22" s="45" t="s">
        <v>87</v>
      </c>
      <c r="D22" s="45" t="s">
        <v>133</v>
      </c>
      <c r="E22" s="77" t="s">
        <v>89</v>
      </c>
      <c r="F22" s="77" t="s">
        <v>90</v>
      </c>
      <c r="G22" s="19"/>
      <c r="H22" s="168"/>
      <c r="I22" s="163"/>
      <c r="J22" s="163"/>
      <c r="K22" s="164"/>
      <c r="L22" s="19"/>
      <c r="M22" s="165"/>
      <c r="N22" s="19"/>
      <c r="O22" s="166"/>
      <c r="P22" s="44"/>
      <c r="Q22" s="19"/>
      <c r="R22" s="19"/>
      <c r="S22" s="19"/>
      <c r="T22" s="2"/>
      <c r="U22" s="2"/>
      <c r="V22" s="2"/>
      <c r="W22" s="2"/>
      <c r="X22" s="2"/>
      <c r="Y22" s="2"/>
      <c r="Z22" s="2"/>
    </row>
    <row r="23">
      <c r="A23" s="171" t="s">
        <v>151</v>
      </c>
      <c r="B23" s="172">
        <v>4.0</v>
      </c>
      <c r="C23" s="142" t="b">
        <v>0</v>
      </c>
      <c r="D23" s="142" t="b">
        <v>0</v>
      </c>
      <c r="E23" s="142" t="b">
        <v>0</v>
      </c>
      <c r="F23" s="142" t="b">
        <v>0</v>
      </c>
      <c r="G23" s="19"/>
      <c r="H23" s="162"/>
      <c r="I23" s="163"/>
      <c r="J23" s="163"/>
      <c r="K23" s="164"/>
      <c r="L23" s="19"/>
      <c r="M23" s="165"/>
      <c r="N23" s="19"/>
      <c r="O23" s="166"/>
      <c r="P23" s="44"/>
      <c r="Q23" s="19"/>
      <c r="R23" s="19"/>
      <c r="S23" s="19"/>
      <c r="T23" s="2"/>
      <c r="U23" s="2"/>
      <c r="V23" s="2"/>
      <c r="W23" s="2"/>
      <c r="X23" s="2"/>
      <c r="Y23" s="2"/>
      <c r="Z23" s="2"/>
    </row>
    <row r="24">
      <c r="A24" s="171" t="s">
        <v>152</v>
      </c>
      <c r="B24" s="172">
        <v>5.0</v>
      </c>
      <c r="C24" s="142" t="b">
        <v>0</v>
      </c>
      <c r="D24" s="142" t="b">
        <v>0</v>
      </c>
      <c r="E24" s="142" t="b">
        <v>0</v>
      </c>
      <c r="F24" s="142" t="b">
        <v>0</v>
      </c>
      <c r="G24" s="19"/>
      <c r="H24" s="162"/>
      <c r="I24" s="163"/>
      <c r="J24" s="163"/>
      <c r="K24" s="164"/>
      <c r="L24" s="19"/>
      <c r="M24" s="165"/>
      <c r="N24" s="19"/>
      <c r="O24" s="166"/>
      <c r="P24" s="44"/>
      <c r="Q24" s="19"/>
      <c r="R24" s="19"/>
      <c r="S24" s="19"/>
      <c r="T24" s="2"/>
      <c r="U24" s="2"/>
      <c r="V24" s="2"/>
      <c r="W24" s="2"/>
      <c r="X24" s="2"/>
      <c r="Y24" s="2"/>
      <c r="Z24" s="2"/>
    </row>
    <row r="25">
      <c r="A25" s="173" t="s">
        <v>153</v>
      </c>
      <c r="B25" s="172">
        <v>1.0</v>
      </c>
      <c r="C25" s="142" t="b">
        <v>0</v>
      </c>
      <c r="D25" s="142" t="b">
        <v>0</v>
      </c>
      <c r="E25" s="142" t="b">
        <v>0</v>
      </c>
      <c r="F25" s="142" t="b">
        <v>0</v>
      </c>
      <c r="G25" s="19"/>
      <c r="H25" s="162"/>
      <c r="I25" s="163"/>
      <c r="J25" s="163"/>
      <c r="K25" s="164"/>
      <c r="L25" s="19"/>
      <c r="M25" s="165"/>
      <c r="N25" s="19"/>
      <c r="O25" s="166"/>
      <c r="P25" s="44"/>
      <c r="Q25" s="19"/>
      <c r="R25" s="19"/>
      <c r="S25" s="19"/>
      <c r="T25" s="2"/>
      <c r="U25" s="2"/>
      <c r="V25" s="2"/>
      <c r="W25" s="2"/>
      <c r="X25" s="2"/>
      <c r="Y25" s="2"/>
      <c r="Z25" s="2"/>
    </row>
    <row r="26">
      <c r="A26" s="171" t="s">
        <v>93</v>
      </c>
      <c r="B26" s="172">
        <v>1.0</v>
      </c>
      <c r="C26" s="142" t="b">
        <v>0</v>
      </c>
      <c r="D26" s="142" t="b">
        <v>0</v>
      </c>
      <c r="E26" s="142" t="b">
        <v>0</v>
      </c>
      <c r="F26" s="142" t="b">
        <v>0</v>
      </c>
      <c r="G26" s="19"/>
      <c r="H26" s="162"/>
      <c r="I26" s="163"/>
      <c r="J26" s="163"/>
      <c r="K26" s="164"/>
      <c r="L26" s="19"/>
      <c r="M26" s="165"/>
      <c r="N26" s="19"/>
      <c r="O26" s="166"/>
      <c r="P26" s="44"/>
      <c r="Q26" s="19"/>
      <c r="R26" s="19"/>
      <c r="S26" s="19"/>
      <c r="T26" s="2"/>
      <c r="U26" s="2"/>
      <c r="V26" s="2"/>
      <c r="W26" s="2"/>
      <c r="X26" s="2"/>
      <c r="Y26" s="2"/>
      <c r="Z26" s="2"/>
    </row>
    <row r="27">
      <c r="A27" s="171" t="s">
        <v>154</v>
      </c>
      <c r="B27" s="172">
        <v>1.0</v>
      </c>
      <c r="C27" s="142" t="b">
        <v>0</v>
      </c>
      <c r="D27" s="142" t="b">
        <v>0</v>
      </c>
      <c r="E27" s="142" t="b">
        <v>0</v>
      </c>
      <c r="F27" s="142" t="b">
        <v>0</v>
      </c>
      <c r="G27" s="19"/>
      <c r="H27" s="162"/>
      <c r="I27" s="163"/>
      <c r="J27" s="163"/>
      <c r="K27" s="164"/>
      <c r="L27" s="19"/>
      <c r="M27" s="165"/>
      <c r="N27" s="19"/>
      <c r="O27" s="166"/>
      <c r="P27" s="44"/>
      <c r="Q27" s="19"/>
      <c r="R27" s="19"/>
      <c r="S27" s="19"/>
      <c r="T27" s="2"/>
      <c r="U27" s="2"/>
      <c r="V27" s="2"/>
      <c r="W27" s="2"/>
      <c r="X27" s="2"/>
      <c r="Y27" s="2"/>
      <c r="Z27" s="2"/>
    </row>
    <row r="28">
      <c r="A28" s="171" t="s">
        <v>155</v>
      </c>
      <c r="B28" s="172">
        <v>8.4</v>
      </c>
      <c r="C28" s="142" t="b">
        <v>0</v>
      </c>
      <c r="D28" s="142" t="b">
        <v>0</v>
      </c>
      <c r="E28" s="142" t="b">
        <v>0</v>
      </c>
      <c r="F28" s="142" t="b">
        <v>0</v>
      </c>
      <c r="G28" s="19"/>
      <c r="H28" s="162"/>
      <c r="I28" s="163"/>
      <c r="J28" s="163"/>
      <c r="K28" s="164"/>
      <c r="L28" s="19"/>
      <c r="M28" s="165"/>
      <c r="N28" s="19"/>
      <c r="O28" s="166"/>
      <c r="P28" s="44"/>
      <c r="Q28" s="19"/>
      <c r="R28" s="19"/>
      <c r="S28" s="19"/>
      <c r="T28" s="2"/>
      <c r="U28" s="2"/>
      <c r="V28" s="2"/>
      <c r="W28" s="2"/>
      <c r="X28" s="2"/>
      <c r="Y28" s="2"/>
      <c r="Z28" s="2"/>
    </row>
    <row r="29">
      <c r="A29" s="171" t="s">
        <v>156</v>
      </c>
      <c r="B29" s="172">
        <v>4.0</v>
      </c>
      <c r="C29" s="142" t="b">
        <v>0</v>
      </c>
      <c r="D29" s="142" t="b">
        <v>0</v>
      </c>
      <c r="E29" s="142" t="b">
        <v>0</v>
      </c>
      <c r="F29" s="142" t="b">
        <v>0</v>
      </c>
      <c r="G29" s="19"/>
      <c r="H29" s="162"/>
      <c r="I29" s="163"/>
      <c r="J29" s="163"/>
      <c r="K29" s="164"/>
      <c r="L29" s="19"/>
      <c r="M29" s="165"/>
      <c r="N29" s="19"/>
      <c r="O29" s="166"/>
      <c r="P29" s="44"/>
      <c r="Q29" s="19"/>
      <c r="R29" s="19"/>
      <c r="S29" s="19"/>
      <c r="T29" s="2"/>
      <c r="U29" s="2"/>
      <c r="V29" s="2"/>
      <c r="W29" s="2"/>
      <c r="X29" s="2"/>
      <c r="Y29" s="2"/>
      <c r="Z29" s="2"/>
    </row>
    <row r="30">
      <c r="A30" s="35"/>
      <c r="B30" s="35"/>
      <c r="C30" s="35"/>
      <c r="D30" s="35"/>
      <c r="E30" s="35"/>
      <c r="F30" s="35"/>
      <c r="G30" s="19"/>
      <c r="H30" s="168"/>
      <c r="I30" s="163"/>
      <c r="J30" s="163"/>
      <c r="K30" s="164"/>
      <c r="L30" s="19"/>
      <c r="M30" s="165"/>
      <c r="N30" s="19"/>
      <c r="O30" s="166"/>
      <c r="P30" s="44"/>
      <c r="Q30" s="19"/>
      <c r="R30" s="19"/>
      <c r="S30" s="19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19"/>
      <c r="H31" s="19"/>
      <c r="I31" s="19"/>
      <c r="J31" s="19"/>
      <c r="K31" s="19"/>
      <c r="L31" s="19"/>
      <c r="M31" s="174"/>
      <c r="N31" s="19"/>
      <c r="O31" s="19"/>
      <c r="P31" s="52"/>
      <c r="Q31" s="19"/>
      <c r="R31" s="19"/>
      <c r="S31" s="19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19"/>
      <c r="H32" s="19"/>
      <c r="I32" s="19"/>
      <c r="J32" s="19"/>
      <c r="K32" s="19"/>
      <c r="L32" s="19"/>
      <c r="M32" s="174"/>
      <c r="N32" s="19"/>
      <c r="O32" s="19"/>
      <c r="P32" s="52"/>
      <c r="Q32" s="19"/>
      <c r="R32" s="19"/>
      <c r="S32" s="19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19"/>
      <c r="H33" s="19"/>
      <c r="I33" s="19"/>
      <c r="J33" s="19"/>
      <c r="K33" s="19"/>
      <c r="L33" s="19"/>
      <c r="M33" s="174"/>
      <c r="N33" s="19"/>
      <c r="O33" s="19"/>
      <c r="P33" s="52"/>
      <c r="Q33" s="19"/>
      <c r="R33" s="19"/>
      <c r="S33" s="19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19"/>
      <c r="H34" s="19"/>
      <c r="I34" s="19"/>
      <c r="J34" s="19"/>
      <c r="K34" s="19"/>
      <c r="L34" s="19"/>
      <c r="M34" s="174"/>
      <c r="N34" s="19"/>
      <c r="O34" s="19"/>
      <c r="P34" s="52"/>
      <c r="Q34" s="19"/>
      <c r="R34" s="19"/>
      <c r="S34" s="19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19"/>
      <c r="H35" s="19"/>
      <c r="I35" s="19"/>
      <c r="J35" s="19"/>
      <c r="K35" s="19"/>
      <c r="L35" s="19"/>
      <c r="M35" s="174"/>
      <c r="N35" s="19"/>
      <c r="O35" s="19"/>
      <c r="P35" s="52"/>
      <c r="Q35" s="19"/>
      <c r="R35" s="19"/>
      <c r="S35" s="19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19"/>
      <c r="H36" s="19"/>
      <c r="I36" s="19"/>
      <c r="J36" s="19"/>
      <c r="K36" s="19"/>
      <c r="L36" s="19"/>
      <c r="M36" s="174"/>
      <c r="N36" s="19"/>
      <c r="O36" s="19"/>
      <c r="P36" s="52"/>
      <c r="Q36" s="19"/>
      <c r="R36" s="19"/>
      <c r="S36" s="19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19"/>
      <c r="H37" s="19"/>
      <c r="I37" s="19"/>
      <c r="J37" s="19"/>
      <c r="K37" s="19"/>
      <c r="L37" s="19"/>
      <c r="M37" s="174"/>
      <c r="N37" s="19"/>
      <c r="O37" s="19"/>
      <c r="P37" s="52"/>
      <c r="Q37" s="19"/>
      <c r="R37" s="19"/>
      <c r="S37" s="19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19"/>
      <c r="H38" s="19"/>
      <c r="I38" s="19"/>
      <c r="J38" s="19"/>
      <c r="K38" s="19"/>
      <c r="L38" s="19"/>
      <c r="M38" s="174"/>
      <c r="N38" s="19"/>
      <c r="O38" s="19"/>
      <c r="P38" s="52"/>
      <c r="Q38" s="19"/>
      <c r="R38" s="19"/>
      <c r="S38" s="19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19"/>
      <c r="H39" s="19"/>
      <c r="I39" s="19"/>
      <c r="J39" s="19"/>
      <c r="K39" s="19"/>
      <c r="L39" s="19"/>
      <c r="M39" s="174"/>
      <c r="N39" s="19"/>
      <c r="O39" s="19"/>
      <c r="P39" s="52"/>
      <c r="Q39" s="19"/>
      <c r="R39" s="19"/>
      <c r="S39" s="19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19"/>
      <c r="H40" s="19"/>
      <c r="I40" s="19"/>
      <c r="J40" s="19"/>
      <c r="K40" s="19"/>
      <c r="L40" s="19"/>
      <c r="M40" s="174"/>
      <c r="N40" s="19"/>
      <c r="O40" s="19"/>
      <c r="P40" s="52"/>
      <c r="Q40" s="19"/>
      <c r="R40" s="19"/>
      <c r="S40" s="19"/>
      <c r="T40" s="2"/>
      <c r="U40" s="2"/>
      <c r="V40" s="2"/>
      <c r="W40" s="2"/>
      <c r="X40" s="2"/>
      <c r="Y40" s="2"/>
      <c r="Z40" s="2"/>
    </row>
    <row r="41">
      <c r="A41" s="175" t="s">
        <v>157</v>
      </c>
      <c r="B41" s="2"/>
      <c r="C41" s="2"/>
      <c r="D41" s="2"/>
      <c r="E41" s="2"/>
      <c r="F41" s="2"/>
      <c r="G41" s="19"/>
      <c r="H41" s="19"/>
      <c r="I41" s="164"/>
      <c r="J41" s="164"/>
      <c r="K41" s="19"/>
      <c r="L41" s="19"/>
      <c r="M41" s="174"/>
      <c r="N41" s="19"/>
      <c r="O41" s="19"/>
      <c r="P41" s="52"/>
      <c r="Q41" s="19"/>
      <c r="R41" s="19"/>
      <c r="S41" s="19"/>
      <c r="T41" s="2"/>
      <c r="U41" s="2"/>
      <c r="V41" s="2"/>
      <c r="W41" s="2"/>
      <c r="X41" s="2"/>
      <c r="Y41" s="2"/>
      <c r="Z41" s="2"/>
    </row>
    <row r="42">
      <c r="A42" s="176" t="s">
        <v>86</v>
      </c>
      <c r="B42" s="177" t="s">
        <v>16</v>
      </c>
      <c r="C42" s="178" t="s">
        <v>87</v>
      </c>
      <c r="D42" s="179" t="s">
        <v>133</v>
      </c>
      <c r="E42" s="178" t="s">
        <v>89</v>
      </c>
      <c r="F42" s="178" t="s">
        <v>90</v>
      </c>
      <c r="G42" s="19"/>
      <c r="H42" s="19"/>
      <c r="I42" s="19"/>
      <c r="J42" s="19"/>
      <c r="K42" s="19"/>
      <c r="L42" s="19"/>
      <c r="M42" s="174"/>
      <c r="N42" s="19"/>
      <c r="O42" s="19"/>
      <c r="P42" s="52"/>
      <c r="Q42" s="19"/>
      <c r="R42" s="19"/>
      <c r="S42" s="19"/>
      <c r="T42" s="2"/>
      <c r="U42" s="2"/>
      <c r="V42" s="2"/>
      <c r="W42" s="2"/>
      <c r="X42" s="2"/>
      <c r="Y42" s="2"/>
      <c r="Z42" s="2"/>
    </row>
    <row r="43">
      <c r="A43" s="180" t="s">
        <v>158</v>
      </c>
      <c r="B43" s="181">
        <v>0.3</v>
      </c>
      <c r="C43" s="142" t="b">
        <v>0</v>
      </c>
      <c r="D43" s="142" t="b">
        <v>0</v>
      </c>
      <c r="E43" s="142" t="b">
        <v>0</v>
      </c>
      <c r="F43" s="142" t="b">
        <v>0</v>
      </c>
      <c r="G43" s="19"/>
      <c r="H43" s="161"/>
      <c r="I43" s="19"/>
      <c r="J43" s="164"/>
      <c r="K43" s="19"/>
      <c r="L43" s="19"/>
      <c r="M43" s="174"/>
      <c r="N43" s="19"/>
      <c r="O43" s="19"/>
      <c r="P43" s="52"/>
      <c r="Q43" s="19"/>
      <c r="R43" s="19"/>
      <c r="S43" s="19"/>
      <c r="T43" s="2"/>
      <c r="U43" s="2"/>
      <c r="V43" s="2"/>
      <c r="W43" s="2"/>
      <c r="X43" s="2"/>
      <c r="Y43" s="2"/>
      <c r="Z43" s="2"/>
    </row>
    <row r="44">
      <c r="A44" s="180" t="s">
        <v>159</v>
      </c>
      <c r="B44" s="181">
        <v>0.2</v>
      </c>
      <c r="C44" s="142" t="b">
        <v>0</v>
      </c>
      <c r="D44" s="142" t="b">
        <v>0</v>
      </c>
      <c r="E44" s="142" t="b">
        <v>0</v>
      </c>
      <c r="F44" s="142" t="b">
        <v>0</v>
      </c>
      <c r="G44" s="19"/>
      <c r="H44" s="161"/>
      <c r="I44" s="19"/>
      <c r="J44" s="19"/>
      <c r="K44" s="19"/>
      <c r="L44" s="19"/>
      <c r="M44" s="174"/>
      <c r="N44" s="19"/>
      <c r="O44" s="19"/>
      <c r="P44" s="52"/>
      <c r="Q44" s="19"/>
      <c r="R44" s="19"/>
      <c r="S44" s="19"/>
      <c r="T44" s="2"/>
      <c r="U44" s="2"/>
      <c r="V44" s="2"/>
      <c r="W44" s="2"/>
      <c r="X44" s="2"/>
      <c r="Y44" s="2"/>
      <c r="Z44" s="2"/>
    </row>
    <row r="45">
      <c r="A45" s="180" t="s">
        <v>137</v>
      </c>
      <c r="B45" s="181">
        <v>0.05</v>
      </c>
      <c r="C45" s="142" t="b">
        <v>0</v>
      </c>
      <c r="D45" s="142" t="b">
        <v>0</v>
      </c>
      <c r="E45" s="142" t="b">
        <v>0</v>
      </c>
      <c r="F45" s="142" t="b">
        <v>0</v>
      </c>
      <c r="G45" s="19"/>
      <c r="H45" s="161"/>
      <c r="I45" s="19"/>
      <c r="J45" s="19"/>
      <c r="K45" s="19"/>
      <c r="L45" s="19"/>
      <c r="M45" s="174"/>
      <c r="N45" s="19"/>
      <c r="O45" s="19"/>
      <c r="P45" s="19"/>
      <c r="Q45" s="19"/>
      <c r="R45" s="19"/>
      <c r="S45" s="19"/>
      <c r="T45" s="2"/>
      <c r="U45" s="2"/>
      <c r="V45" s="2"/>
      <c r="W45" s="2"/>
      <c r="X45" s="2"/>
      <c r="Y45" s="2"/>
      <c r="Z45" s="2"/>
    </row>
    <row r="46">
      <c r="A46" s="180" t="s">
        <v>92</v>
      </c>
      <c r="B46" s="181">
        <v>0.05</v>
      </c>
      <c r="C46" s="142" t="b">
        <v>0</v>
      </c>
      <c r="D46" s="142" t="b">
        <v>0</v>
      </c>
      <c r="E46" s="142" t="b">
        <v>0</v>
      </c>
      <c r="F46" s="142" t="b">
        <v>0</v>
      </c>
      <c r="G46" s="19"/>
      <c r="H46" s="161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2"/>
      <c r="U46" s="2"/>
      <c r="V46" s="2"/>
      <c r="W46" s="2"/>
      <c r="X46" s="2"/>
      <c r="Y46" s="2"/>
      <c r="Z46" s="2"/>
    </row>
    <row r="47">
      <c r="A47" s="60"/>
      <c r="B47" s="60"/>
      <c r="C47" s="60"/>
      <c r="D47" s="60"/>
      <c r="E47" s="60"/>
      <c r="F47" s="60"/>
      <c r="G47" s="1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0"/>
      <c r="B48" s="60"/>
      <c r="C48" s="60"/>
      <c r="D48" s="60"/>
      <c r="E48" s="60"/>
      <c r="F48" s="60"/>
      <c r="G48" s="1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82" t="s">
        <v>160</v>
      </c>
      <c r="G49" s="19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16">
    <mergeCell ref="B7:C7"/>
    <mergeCell ref="D7:D9"/>
    <mergeCell ref="B8:C8"/>
    <mergeCell ref="B9:C9"/>
    <mergeCell ref="B10:C10"/>
    <mergeCell ref="A12:C12"/>
    <mergeCell ref="A49:F50"/>
    <mergeCell ref="E7:E9"/>
    <mergeCell ref="F7:F9"/>
    <mergeCell ref="A1:F1"/>
    <mergeCell ref="B3:C3"/>
    <mergeCell ref="A4:A6"/>
    <mergeCell ref="B4:C4"/>
    <mergeCell ref="B5:C5"/>
    <mergeCell ref="B6:C6"/>
    <mergeCell ref="A7:A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15.13"/>
    <col customWidth="1" min="5" max="5" width="14.75"/>
    <col customWidth="1" min="6" max="6" width="15.63"/>
  </cols>
  <sheetData>
    <row r="1">
      <c r="A1" s="1" t="s">
        <v>161</v>
      </c>
    </row>
    <row r="2">
      <c r="A2" s="2"/>
      <c r="B2" s="2"/>
      <c r="C2" s="183" t="s">
        <v>141</v>
      </c>
      <c r="D2" s="2"/>
      <c r="E2" s="2"/>
      <c r="F2" s="2"/>
    </row>
    <row r="3">
      <c r="A3" s="115"/>
      <c r="B3" s="115"/>
      <c r="C3" s="115"/>
      <c r="D3" s="115"/>
      <c r="E3" s="115"/>
      <c r="F3" s="115"/>
    </row>
    <row r="4">
      <c r="A4" s="7" t="s">
        <v>2</v>
      </c>
      <c r="B4" s="8" t="s">
        <v>3</v>
      </c>
      <c r="C4" s="9"/>
      <c r="D4" s="10" t="s">
        <v>4</v>
      </c>
      <c r="E4" s="10" t="s">
        <v>5</v>
      </c>
      <c r="F4" s="11" t="s">
        <v>6</v>
      </c>
    </row>
    <row r="5">
      <c r="A5" s="62" t="s">
        <v>33</v>
      </c>
      <c r="B5" s="13" t="s">
        <v>8</v>
      </c>
      <c r="C5" s="18"/>
      <c r="D5" s="15"/>
      <c r="E5" s="15"/>
      <c r="F5" s="15"/>
    </row>
    <row r="6">
      <c r="A6" s="63"/>
      <c r="B6" s="148" t="s">
        <v>35</v>
      </c>
      <c r="C6" s="14"/>
      <c r="D6" s="17"/>
      <c r="E6" s="15"/>
      <c r="F6" s="15"/>
    </row>
    <row r="7">
      <c r="A7" s="65"/>
      <c r="B7" s="184" t="s">
        <v>100</v>
      </c>
      <c r="C7" s="21"/>
      <c r="D7" s="67"/>
      <c r="E7" s="67"/>
      <c r="F7" s="67"/>
    </row>
    <row r="8">
      <c r="A8" s="68" t="s">
        <v>36</v>
      </c>
      <c r="B8" s="26" t="s">
        <v>37</v>
      </c>
      <c r="C8" s="18"/>
      <c r="D8" s="24"/>
      <c r="E8" s="24"/>
      <c r="F8" s="24"/>
    </row>
    <row r="9">
      <c r="A9" s="25"/>
      <c r="B9" s="26" t="s">
        <v>38</v>
      </c>
      <c r="C9" s="18"/>
      <c r="D9" s="24"/>
      <c r="E9" s="24"/>
      <c r="F9" s="24"/>
    </row>
    <row r="10">
      <c r="A10" s="27"/>
      <c r="B10" s="28"/>
      <c r="C10" s="29"/>
      <c r="D10" s="70"/>
      <c r="E10" s="70"/>
      <c r="F10" s="70"/>
    </row>
    <row r="11">
      <c r="A11" s="153" t="s">
        <v>11</v>
      </c>
      <c r="B11" s="74" t="s">
        <v>162</v>
      </c>
      <c r="C11" s="29"/>
      <c r="D11" s="155"/>
      <c r="E11" s="155"/>
      <c r="F11" s="155"/>
    </row>
    <row r="12">
      <c r="A12" s="2"/>
      <c r="B12" s="2"/>
      <c r="C12" s="2"/>
      <c r="D12" s="2"/>
      <c r="E12" s="2"/>
      <c r="F12" s="2"/>
    </row>
    <row r="13">
      <c r="A13" s="75" t="s">
        <v>163</v>
      </c>
    </row>
    <row r="14">
      <c r="A14" s="66" t="s">
        <v>86</v>
      </c>
      <c r="B14" s="76" t="s">
        <v>16</v>
      </c>
      <c r="C14" s="45" t="s">
        <v>104</v>
      </c>
      <c r="D14" s="45" t="s">
        <v>104</v>
      </c>
      <c r="E14" s="45" t="s">
        <v>105</v>
      </c>
      <c r="F14" s="45" t="s">
        <v>105</v>
      </c>
    </row>
    <row r="15">
      <c r="A15" s="123" t="s">
        <v>164</v>
      </c>
      <c r="B15" s="124">
        <v>10.0</v>
      </c>
      <c r="C15" s="50" t="b">
        <v>0</v>
      </c>
      <c r="D15" s="50" t="b">
        <v>0</v>
      </c>
      <c r="E15" s="50" t="b">
        <v>0</v>
      </c>
      <c r="F15" s="50" t="b">
        <v>0</v>
      </c>
    </row>
    <row r="16">
      <c r="A16" s="123" t="s">
        <v>165</v>
      </c>
      <c r="B16" s="124">
        <v>0.32</v>
      </c>
      <c r="C16" s="50" t="b">
        <v>0</v>
      </c>
      <c r="D16" s="50" t="b">
        <v>0</v>
      </c>
      <c r="E16" s="50" t="b">
        <v>0</v>
      </c>
      <c r="F16" s="50" t="b">
        <v>0</v>
      </c>
      <c r="I16" s="185"/>
    </row>
    <row r="17">
      <c r="A17" s="123" t="s">
        <v>109</v>
      </c>
      <c r="B17" s="124">
        <v>0.2</v>
      </c>
      <c r="C17" s="50" t="b">
        <v>0</v>
      </c>
      <c r="D17" s="50" t="b">
        <v>0</v>
      </c>
      <c r="E17" s="50" t="b">
        <v>0</v>
      </c>
      <c r="F17" s="50" t="b">
        <v>0</v>
      </c>
      <c r="I17" s="185"/>
    </row>
    <row r="18">
      <c r="A18" s="123" t="s">
        <v>110</v>
      </c>
      <c r="B18" s="124">
        <v>0.2</v>
      </c>
      <c r="C18" s="50" t="b">
        <v>0</v>
      </c>
      <c r="D18" s="50" t="b">
        <v>0</v>
      </c>
      <c r="E18" s="50" t="b">
        <v>0</v>
      </c>
      <c r="F18" s="50" t="b">
        <v>0</v>
      </c>
      <c r="I18" s="185"/>
    </row>
    <row r="19">
      <c r="A19" s="186" t="s">
        <v>166</v>
      </c>
      <c r="I19" s="185"/>
    </row>
    <row r="20">
      <c r="A20" s="35"/>
      <c r="B20" s="35"/>
      <c r="C20" s="35"/>
      <c r="D20" s="35"/>
      <c r="E20" s="35"/>
      <c r="F20" s="35"/>
      <c r="I20" s="185"/>
    </row>
    <row r="21">
      <c r="A21" s="35"/>
      <c r="B21" s="35"/>
      <c r="C21" s="35"/>
      <c r="D21" s="35"/>
      <c r="E21" s="35"/>
      <c r="F21" s="35"/>
      <c r="I21" s="185"/>
    </row>
    <row r="22">
      <c r="A22" s="45" t="s">
        <v>167</v>
      </c>
      <c r="B22" s="35"/>
      <c r="C22" s="35"/>
      <c r="D22" s="35"/>
      <c r="E22" s="35"/>
      <c r="F22" s="35"/>
      <c r="I22" s="185"/>
    </row>
    <row r="23">
      <c r="A23" s="187" t="s">
        <v>86</v>
      </c>
      <c r="B23" s="188" t="s">
        <v>16</v>
      </c>
      <c r="C23" s="45" t="s">
        <v>104</v>
      </c>
      <c r="D23" s="45" t="s">
        <v>104</v>
      </c>
      <c r="E23" s="45" t="s">
        <v>105</v>
      </c>
      <c r="F23" s="45" t="s">
        <v>105</v>
      </c>
      <c r="I23" s="185"/>
    </row>
    <row r="24">
      <c r="A24" s="123" t="s">
        <v>168</v>
      </c>
      <c r="B24" s="124">
        <v>8.0</v>
      </c>
      <c r="C24" s="50" t="b">
        <v>0</v>
      </c>
      <c r="D24" s="50" t="b">
        <v>0</v>
      </c>
      <c r="E24" s="50" t="b">
        <v>0</v>
      </c>
      <c r="F24" s="50" t="b">
        <v>0</v>
      </c>
      <c r="I24" s="189"/>
    </row>
    <row r="25">
      <c r="A25" s="190" t="s">
        <v>169</v>
      </c>
      <c r="B25" s="124">
        <v>4.0</v>
      </c>
      <c r="C25" s="50" t="b">
        <v>0</v>
      </c>
      <c r="D25" s="50" t="b">
        <v>0</v>
      </c>
      <c r="E25" s="50" t="b">
        <v>0</v>
      </c>
      <c r="F25" s="50" t="b">
        <v>0</v>
      </c>
      <c r="I25" s="185"/>
    </row>
    <row r="26">
      <c r="A26" s="123" t="s">
        <v>170</v>
      </c>
      <c r="B26" s="124">
        <v>4.0</v>
      </c>
      <c r="C26" s="50" t="b">
        <v>0</v>
      </c>
      <c r="D26" s="50" t="b">
        <v>0</v>
      </c>
      <c r="E26" s="50" t="b">
        <v>0</v>
      </c>
      <c r="F26" s="50" t="b">
        <v>0</v>
      </c>
      <c r="I26" s="185"/>
    </row>
    <row r="27">
      <c r="A27" s="190" t="s">
        <v>155</v>
      </c>
      <c r="B27" s="124">
        <v>8.3</v>
      </c>
      <c r="C27" s="50" t="b">
        <v>0</v>
      </c>
      <c r="D27" s="50" t="b">
        <v>0</v>
      </c>
      <c r="E27" s="50" t="b">
        <v>0</v>
      </c>
      <c r="F27" s="50" t="b">
        <v>0</v>
      </c>
      <c r="I27" s="191"/>
    </row>
    <row r="28">
      <c r="A28" s="123" t="s">
        <v>171</v>
      </c>
      <c r="B28" s="122">
        <v>0.175</v>
      </c>
      <c r="C28" s="50" t="b">
        <v>0</v>
      </c>
      <c r="D28" s="50" t="b">
        <v>0</v>
      </c>
      <c r="E28" s="50" t="b">
        <v>0</v>
      </c>
      <c r="F28" s="50" t="b">
        <v>0</v>
      </c>
      <c r="I28" s="192"/>
    </row>
    <row r="29">
      <c r="A29" s="123" t="s">
        <v>172</v>
      </c>
      <c r="B29" s="124">
        <v>0.2</v>
      </c>
      <c r="C29" s="50" t="b">
        <v>0</v>
      </c>
      <c r="D29" s="50" t="b">
        <v>0</v>
      </c>
      <c r="E29" s="193" t="s">
        <v>173</v>
      </c>
      <c r="F29" s="194" t="s">
        <v>173</v>
      </c>
      <c r="I29" s="191"/>
    </row>
    <row r="30">
      <c r="A30" s="123" t="s">
        <v>174</v>
      </c>
      <c r="B30" s="124">
        <v>0.16</v>
      </c>
      <c r="C30" s="50" t="b">
        <v>0</v>
      </c>
      <c r="D30" s="50" t="b">
        <v>0</v>
      </c>
      <c r="E30" s="193" t="s">
        <v>173</v>
      </c>
      <c r="F30" s="194" t="s">
        <v>173</v>
      </c>
      <c r="I30" s="191"/>
    </row>
    <row r="31">
      <c r="A31" s="35"/>
      <c r="B31" s="35"/>
      <c r="C31" s="35"/>
      <c r="D31" s="35"/>
      <c r="E31" s="35"/>
      <c r="F31" s="35"/>
      <c r="I31" s="195"/>
    </row>
    <row r="32">
      <c r="A32" s="86"/>
      <c r="B32" s="2"/>
      <c r="C32" s="196"/>
      <c r="D32" s="2"/>
      <c r="E32" s="2"/>
      <c r="F32" s="2"/>
      <c r="I32" s="195"/>
    </row>
    <row r="33">
      <c r="A33" s="86"/>
      <c r="B33" s="2"/>
      <c r="C33" s="196"/>
      <c r="D33" s="2"/>
      <c r="E33" s="2"/>
      <c r="F33" s="2"/>
      <c r="I33" s="195"/>
    </row>
    <row r="34">
      <c r="A34" s="86"/>
      <c r="B34" s="2"/>
      <c r="C34" s="196"/>
      <c r="D34" s="2"/>
      <c r="E34" s="2"/>
      <c r="F34" s="2"/>
      <c r="I34" s="191"/>
    </row>
    <row r="35">
      <c r="A35" s="86"/>
      <c r="B35" s="2"/>
      <c r="C35" s="196"/>
      <c r="D35" s="2"/>
      <c r="E35" s="2"/>
      <c r="F35" s="2"/>
      <c r="I35" s="191"/>
    </row>
    <row r="36">
      <c r="A36" s="86"/>
      <c r="B36" s="2"/>
      <c r="C36" s="196"/>
      <c r="D36" s="2"/>
      <c r="E36" s="2"/>
      <c r="F36" s="2"/>
      <c r="I36" s="191"/>
    </row>
    <row r="37">
      <c r="A37" s="86"/>
      <c r="B37" s="2"/>
      <c r="C37" s="196"/>
      <c r="D37" s="2"/>
      <c r="E37" s="2"/>
      <c r="F37" s="2"/>
      <c r="I37" s="191"/>
    </row>
    <row r="38">
      <c r="A38" s="86"/>
      <c r="B38" s="2"/>
      <c r="C38" s="196"/>
      <c r="D38" s="2"/>
      <c r="E38" s="2"/>
      <c r="F38" s="2"/>
    </row>
    <row r="39">
      <c r="A39" s="86"/>
      <c r="B39" s="2"/>
      <c r="C39" s="196"/>
      <c r="D39" s="2"/>
      <c r="E39" s="2"/>
      <c r="F39" s="2"/>
    </row>
    <row r="40">
      <c r="A40" s="86"/>
      <c r="B40" s="2"/>
      <c r="C40" s="196"/>
      <c r="D40" s="2"/>
      <c r="E40" s="2"/>
      <c r="F40" s="2"/>
    </row>
    <row r="41">
      <c r="A41" s="86" t="s">
        <v>175</v>
      </c>
      <c r="B41" s="2"/>
      <c r="C41" s="196"/>
      <c r="D41" s="2"/>
      <c r="E41" s="2"/>
      <c r="F41" s="2"/>
    </row>
    <row r="42">
      <c r="A42" s="98" t="s">
        <v>15</v>
      </c>
      <c r="B42" s="157"/>
      <c r="C42" s="129" t="s">
        <v>16</v>
      </c>
      <c r="D42" s="197" t="s">
        <v>63</v>
      </c>
      <c r="E42" s="197" t="s">
        <v>64</v>
      </c>
      <c r="F42" s="58"/>
    </row>
    <row r="43">
      <c r="A43" s="58" t="s">
        <v>116</v>
      </c>
      <c r="B43" s="58"/>
      <c r="C43" s="91">
        <v>5.0</v>
      </c>
      <c r="D43" s="50" t="b">
        <v>0</v>
      </c>
      <c r="E43" s="50" t="b">
        <v>0</v>
      </c>
      <c r="F43" s="58"/>
    </row>
    <row r="44">
      <c r="A44" s="198" t="s">
        <v>66</v>
      </c>
      <c r="B44" s="199"/>
      <c r="C44" s="200">
        <v>0.01</v>
      </c>
      <c r="D44" s="201" t="b">
        <v>0</v>
      </c>
      <c r="E44" s="201" t="b">
        <v>0</v>
      </c>
      <c r="F44" s="199"/>
    </row>
    <row r="45">
      <c r="A45" s="199"/>
    </row>
    <row r="46">
      <c r="A46" s="92" t="s">
        <v>176</v>
      </c>
      <c r="B46" s="93"/>
      <c r="C46" s="93"/>
      <c r="D46" s="93"/>
      <c r="E46" s="93"/>
      <c r="F46" s="93"/>
    </row>
    <row r="47">
      <c r="A47" s="92" t="s">
        <v>177</v>
      </c>
      <c r="B47" s="93"/>
      <c r="C47" s="93"/>
      <c r="D47" s="93"/>
      <c r="E47" s="93"/>
      <c r="F47" s="93"/>
    </row>
    <row r="48">
      <c r="A48" s="94" t="s">
        <v>178</v>
      </c>
    </row>
    <row r="49">
      <c r="A49" s="92" t="s">
        <v>179</v>
      </c>
      <c r="B49" s="93"/>
      <c r="C49" s="93"/>
      <c r="D49" s="93"/>
      <c r="E49" s="93"/>
      <c r="F49" s="93"/>
    </row>
    <row r="50">
      <c r="A50" s="92" t="s">
        <v>180</v>
      </c>
      <c r="B50" s="93"/>
      <c r="C50" s="93"/>
      <c r="D50" s="93"/>
      <c r="E50" s="93"/>
      <c r="F50" s="93"/>
    </row>
    <row r="51">
      <c r="A51" s="95" t="s">
        <v>181</v>
      </c>
      <c r="B51" s="93"/>
      <c r="C51" s="93"/>
      <c r="D51" s="93"/>
      <c r="E51" s="93"/>
      <c r="F51" s="93"/>
    </row>
    <row r="52">
      <c r="A52" s="202" t="s">
        <v>182</v>
      </c>
      <c r="B52" s="19"/>
      <c r="C52" s="36" t="s">
        <v>44</v>
      </c>
      <c r="D52" s="19"/>
      <c r="E52" s="19"/>
      <c r="F52" s="19"/>
    </row>
    <row r="53">
      <c r="A53" s="98" t="s">
        <v>15</v>
      </c>
      <c r="B53" s="129" t="s">
        <v>16</v>
      </c>
      <c r="C53" s="132" t="s">
        <v>63</v>
      </c>
      <c r="D53" s="130" t="s">
        <v>64</v>
      </c>
      <c r="E53" s="132" t="s">
        <v>75</v>
      </c>
      <c r="F53" s="132" t="s">
        <v>76</v>
      </c>
    </row>
    <row r="54">
      <c r="A54" s="58" t="s">
        <v>183</v>
      </c>
      <c r="B54" s="91">
        <v>2.0</v>
      </c>
      <c r="C54" s="50" t="b">
        <v>0</v>
      </c>
      <c r="D54" s="50" t="b">
        <v>0</v>
      </c>
      <c r="E54" s="102" t="s">
        <v>78</v>
      </c>
      <c r="F54" s="102" t="s">
        <v>78</v>
      </c>
    </row>
    <row r="55">
      <c r="A55" s="58" t="s">
        <v>116</v>
      </c>
      <c r="B55" s="91">
        <v>2.5</v>
      </c>
      <c r="C55" s="133" t="s">
        <v>78</v>
      </c>
      <c r="D55" s="101" t="s">
        <v>78</v>
      </c>
      <c r="E55" s="50" t="b">
        <v>0</v>
      </c>
      <c r="F55" s="50" t="b">
        <v>0</v>
      </c>
    </row>
    <row r="56">
      <c r="A56" s="94" t="s">
        <v>184</v>
      </c>
    </row>
    <row r="57">
      <c r="A57" s="95" t="s">
        <v>185</v>
      </c>
      <c r="B57" s="93"/>
      <c r="C57" s="93"/>
      <c r="D57" s="93"/>
      <c r="E57" s="93"/>
      <c r="F57" s="93"/>
    </row>
    <row r="58">
      <c r="A58" s="92" t="s">
        <v>186</v>
      </c>
      <c r="B58" s="93"/>
      <c r="C58" s="93"/>
      <c r="D58" s="93"/>
      <c r="E58" s="93"/>
      <c r="F58" s="93"/>
    </row>
    <row r="59">
      <c r="A59" s="94" t="s">
        <v>187</v>
      </c>
    </row>
    <row r="60">
      <c r="A60" s="92" t="s">
        <v>188</v>
      </c>
      <c r="B60" s="93"/>
      <c r="C60" s="93"/>
      <c r="D60" s="93"/>
      <c r="E60" s="93"/>
      <c r="F60" s="93"/>
    </row>
    <row r="61">
      <c r="A61" s="92" t="s">
        <v>189</v>
      </c>
      <c r="B61" s="93"/>
      <c r="C61" s="93"/>
      <c r="D61" s="93"/>
      <c r="E61" s="93"/>
      <c r="F61" s="93"/>
    </row>
    <row r="62">
      <c r="A62" s="95" t="s">
        <v>190</v>
      </c>
      <c r="B62" s="93"/>
      <c r="C62" s="93"/>
      <c r="D62" s="93"/>
      <c r="E62" s="93"/>
      <c r="F62" s="93"/>
    </row>
    <row r="63">
      <c r="A63" s="103" t="s">
        <v>191</v>
      </c>
      <c r="E63" s="2"/>
      <c r="F63" s="2"/>
    </row>
    <row r="64">
      <c r="A64" s="104" t="s">
        <v>86</v>
      </c>
      <c r="B64" s="105" t="s">
        <v>16</v>
      </c>
      <c r="C64" s="203" t="s">
        <v>87</v>
      </c>
      <c r="D64" s="203" t="s">
        <v>88</v>
      </c>
      <c r="E64" s="204" t="s">
        <v>89</v>
      </c>
      <c r="F64" s="204" t="s">
        <v>90</v>
      </c>
    </row>
    <row r="65">
      <c r="A65" s="60" t="s">
        <v>93</v>
      </c>
      <c r="B65" s="141">
        <v>1.0</v>
      </c>
      <c r="C65" s="142" t="b">
        <v>0</v>
      </c>
      <c r="D65" s="142" t="b">
        <v>0</v>
      </c>
      <c r="E65" s="142" t="b">
        <v>0</v>
      </c>
      <c r="F65" s="142" t="b">
        <v>0</v>
      </c>
    </row>
    <row r="66">
      <c r="A66" s="112" t="s">
        <v>192</v>
      </c>
      <c r="B66" s="141">
        <v>1.0</v>
      </c>
      <c r="C66" s="142" t="b">
        <v>0</v>
      </c>
      <c r="D66" s="142" t="b">
        <v>0</v>
      </c>
      <c r="E66" s="142" t="b">
        <v>0</v>
      </c>
      <c r="F66" s="142" t="b">
        <v>0</v>
      </c>
    </row>
    <row r="67">
      <c r="A67" s="60" t="s">
        <v>94</v>
      </c>
      <c r="B67" s="141">
        <v>1.0</v>
      </c>
      <c r="C67" s="142" t="b">
        <v>0</v>
      </c>
      <c r="D67" s="142" t="b">
        <v>0</v>
      </c>
      <c r="E67" s="142" t="b">
        <v>0</v>
      </c>
      <c r="F67" s="142" t="b">
        <v>0</v>
      </c>
    </row>
    <row r="68">
      <c r="A68" s="60" t="s">
        <v>91</v>
      </c>
      <c r="B68" s="109">
        <v>0.08</v>
      </c>
      <c r="C68" s="142" t="b">
        <v>0</v>
      </c>
      <c r="D68" s="142" t="b">
        <v>0</v>
      </c>
      <c r="E68" s="142" t="b">
        <v>0</v>
      </c>
      <c r="F68" s="142" t="b">
        <v>0</v>
      </c>
    </row>
    <row r="69">
      <c r="A69" s="60" t="s">
        <v>92</v>
      </c>
      <c r="B69" s="109">
        <v>0.08</v>
      </c>
      <c r="C69" s="142" t="b">
        <v>0</v>
      </c>
      <c r="D69" s="142" t="b">
        <v>0</v>
      </c>
      <c r="E69" s="142" t="b">
        <v>0</v>
      </c>
      <c r="F69" s="142" t="b">
        <v>0</v>
      </c>
    </row>
    <row r="70">
      <c r="A70" s="60" t="s">
        <v>193</v>
      </c>
      <c r="B70" s="109">
        <v>0.08</v>
      </c>
      <c r="C70" s="142" t="b">
        <v>0</v>
      </c>
      <c r="D70" s="142" t="b">
        <v>0</v>
      </c>
      <c r="E70" s="142" t="b">
        <v>0</v>
      </c>
      <c r="F70" s="142" t="b">
        <v>0</v>
      </c>
    </row>
    <row r="71">
      <c r="A71" s="60" t="s">
        <v>194</v>
      </c>
      <c r="B71" s="109">
        <v>0.06</v>
      </c>
      <c r="C71" s="142" t="b">
        <v>0</v>
      </c>
      <c r="D71" s="142" t="b">
        <v>0</v>
      </c>
      <c r="E71" s="142" t="b">
        <v>0</v>
      </c>
      <c r="F71" s="142" t="b">
        <v>0</v>
      </c>
    </row>
    <row r="72">
      <c r="A72" s="60"/>
      <c r="B72" s="143"/>
      <c r="C72" s="60"/>
      <c r="D72" s="205"/>
      <c r="E72" s="205"/>
      <c r="F72" s="60"/>
    </row>
    <row r="73">
      <c r="A73" s="182" t="s">
        <v>195</v>
      </c>
    </row>
  </sheetData>
  <mergeCells count="19">
    <mergeCell ref="B8:C8"/>
    <mergeCell ref="B9:C9"/>
    <mergeCell ref="B11:C11"/>
    <mergeCell ref="A1:F1"/>
    <mergeCell ref="B4:C4"/>
    <mergeCell ref="A5:A7"/>
    <mergeCell ref="B5:C5"/>
    <mergeCell ref="B6:C6"/>
    <mergeCell ref="B7:C7"/>
    <mergeCell ref="A8:A10"/>
    <mergeCell ref="A63:D63"/>
    <mergeCell ref="A73:F74"/>
    <mergeCell ref="B10:C10"/>
    <mergeCell ref="A13:F13"/>
    <mergeCell ref="A19:F19"/>
    <mergeCell ref="A45:F45"/>
    <mergeCell ref="A48:F48"/>
    <mergeCell ref="A56:F56"/>
    <mergeCell ref="A59:F59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206" t="s">
        <v>196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/>
      <c r="B2" s="9"/>
      <c r="C2" s="9"/>
      <c r="D2" s="9"/>
      <c r="E2" s="9"/>
      <c r="F2" s="11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B3" s="8" t="s">
        <v>3</v>
      </c>
      <c r="C3" s="9"/>
      <c r="D3" s="10" t="s">
        <v>4</v>
      </c>
      <c r="E3" s="10" t="s">
        <v>5</v>
      </c>
      <c r="F3" s="11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07" t="s">
        <v>33</v>
      </c>
      <c r="B4" s="13" t="s">
        <v>8</v>
      </c>
      <c r="C4" s="14"/>
      <c r="D4" s="15"/>
      <c r="E4" s="15"/>
      <c r="F4" s="1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5"/>
      <c r="B5" s="148" t="s">
        <v>35</v>
      </c>
      <c r="C5" s="14"/>
      <c r="D5" s="18"/>
      <c r="E5" s="18"/>
      <c r="F5" s="1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7"/>
      <c r="B6" s="184" t="s">
        <v>100</v>
      </c>
      <c r="C6" s="21"/>
      <c r="D6" s="29"/>
      <c r="E6" s="29"/>
      <c r="F6" s="2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08" t="s">
        <v>197</v>
      </c>
      <c r="B8" s="35"/>
      <c r="C8" s="35"/>
      <c r="D8" s="35"/>
      <c r="E8" s="35"/>
      <c r="F8" s="3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H9" s="209"/>
      <c r="I9" s="209"/>
      <c r="J9" s="209"/>
      <c r="K9" s="209"/>
      <c r="L9" s="36"/>
      <c r="M9" s="36"/>
      <c r="N9" s="36"/>
      <c r="O9" s="36"/>
      <c r="P9" s="19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6" t="s">
        <v>86</v>
      </c>
      <c r="B10" s="76" t="s">
        <v>16</v>
      </c>
      <c r="C10" s="66"/>
      <c r="D10" s="150"/>
      <c r="E10" s="77" t="s">
        <v>198</v>
      </c>
      <c r="F10" s="35"/>
      <c r="G10" s="2"/>
      <c r="H10" s="210"/>
      <c r="I10" s="211"/>
      <c r="J10" s="164"/>
      <c r="K10" s="19"/>
      <c r="L10" s="212"/>
      <c r="M10" s="19"/>
      <c r="N10" s="213"/>
      <c r="O10" s="44"/>
      <c r="P10" s="19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0" t="s">
        <v>199</v>
      </c>
      <c r="B11" s="124">
        <v>1.0</v>
      </c>
      <c r="C11" s="56"/>
      <c r="D11" s="127"/>
      <c r="E11" s="50" t="b">
        <v>0</v>
      </c>
      <c r="F11" s="35"/>
      <c r="G11" s="2"/>
      <c r="H11" s="210"/>
      <c r="I11" s="211"/>
      <c r="J11" s="164"/>
      <c r="K11" s="19"/>
      <c r="L11" s="212"/>
      <c r="M11" s="19"/>
      <c r="N11" s="213"/>
      <c r="O11" s="52"/>
      <c r="P11" s="19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0" t="s">
        <v>200</v>
      </c>
      <c r="B12" s="124">
        <v>0.3</v>
      </c>
      <c r="C12" s="56"/>
      <c r="D12" s="127"/>
      <c r="E12" s="50" t="b">
        <v>0</v>
      </c>
      <c r="F12" s="35"/>
      <c r="G12" s="2"/>
      <c r="H12" s="210"/>
      <c r="I12" s="211"/>
      <c r="J12" s="164"/>
      <c r="K12" s="19"/>
      <c r="L12" s="212"/>
      <c r="M12" s="19"/>
      <c r="N12" s="213"/>
      <c r="O12" s="52"/>
      <c r="P12" s="19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0" t="s">
        <v>201</v>
      </c>
      <c r="B13" s="124">
        <v>1.0</v>
      </c>
      <c r="C13" s="56"/>
      <c r="D13" s="127"/>
      <c r="E13" s="50" t="b">
        <v>0</v>
      </c>
      <c r="F13" s="35"/>
      <c r="G13" s="2"/>
      <c r="H13" s="210"/>
      <c r="I13" s="211"/>
      <c r="J13" s="164"/>
      <c r="K13" s="214"/>
      <c r="L13" s="214"/>
      <c r="M13" s="214"/>
      <c r="N13" s="214"/>
      <c r="O13" s="214"/>
      <c r="P13" s="19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0" t="s">
        <v>202</v>
      </c>
      <c r="B14" s="124">
        <v>0.4</v>
      </c>
      <c r="C14" s="56"/>
      <c r="D14" s="127"/>
      <c r="E14" s="50" t="b">
        <v>0</v>
      </c>
      <c r="F14" s="35"/>
      <c r="G14" s="2"/>
      <c r="H14" s="210"/>
      <c r="I14" s="211"/>
      <c r="J14" s="164"/>
      <c r="K14" s="19"/>
      <c r="L14" s="212"/>
      <c r="M14" s="19"/>
      <c r="N14" s="213"/>
      <c r="O14" s="52"/>
      <c r="P14" s="19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0" t="s">
        <v>203</v>
      </c>
      <c r="B15" s="124">
        <v>0.8</v>
      </c>
      <c r="C15" s="56"/>
      <c r="D15" s="127"/>
      <c r="E15" s="50" t="b">
        <v>0</v>
      </c>
      <c r="F15" s="35"/>
      <c r="G15" s="2"/>
      <c r="H15" s="19"/>
      <c r="I15" s="164"/>
      <c r="J15" s="19"/>
      <c r="K15" s="19"/>
      <c r="L15" s="19"/>
      <c r="M15" s="19"/>
      <c r="N15" s="19"/>
      <c r="O15" s="19"/>
      <c r="P15" s="1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5"/>
      <c r="B16" s="35"/>
      <c r="C16" s="35"/>
      <c r="D16" s="35"/>
      <c r="E16" s="35"/>
      <c r="F16" s="35"/>
      <c r="G16" s="2"/>
      <c r="H16" s="19"/>
      <c r="I16" s="19"/>
      <c r="J16" s="19"/>
      <c r="K16" s="19"/>
      <c r="L16" s="19"/>
      <c r="M16" s="19"/>
      <c r="N16" s="19"/>
      <c r="O16" s="19"/>
      <c r="P16" s="19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0" t="s">
        <v>204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1">
    <mergeCell ref="B4:C4"/>
    <mergeCell ref="B5:C5"/>
    <mergeCell ref="B6:C6"/>
    <mergeCell ref="A17:F18"/>
    <mergeCell ref="A1:F1"/>
    <mergeCell ref="A2:E2"/>
    <mergeCell ref="B3:C3"/>
    <mergeCell ref="A4:A6"/>
    <mergeCell ref="D4:D6"/>
    <mergeCell ref="E4:E6"/>
    <mergeCell ref="F4:F6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205</v>
      </c>
    </row>
    <row r="2">
      <c r="A2" s="3"/>
      <c r="B2" s="4"/>
      <c r="C2" s="4"/>
      <c r="D2" s="6"/>
      <c r="E2" s="6"/>
      <c r="F2" s="6"/>
    </row>
    <row r="3">
      <c r="A3" s="7" t="s">
        <v>2</v>
      </c>
      <c r="B3" s="8" t="s">
        <v>3</v>
      </c>
      <c r="C3" s="9"/>
      <c r="D3" s="10" t="s">
        <v>4</v>
      </c>
      <c r="E3" s="10" t="s">
        <v>5</v>
      </c>
      <c r="F3" s="11" t="s">
        <v>6</v>
      </c>
    </row>
    <row r="4">
      <c r="A4" s="62" t="s">
        <v>33</v>
      </c>
      <c r="B4" s="13" t="s">
        <v>8</v>
      </c>
      <c r="C4" s="18"/>
      <c r="D4" s="15"/>
      <c r="E4" s="15"/>
      <c r="F4" s="15"/>
    </row>
    <row r="5">
      <c r="A5" s="63"/>
      <c r="B5" s="127"/>
      <c r="C5" s="14"/>
      <c r="D5" s="17"/>
      <c r="E5" s="15"/>
      <c r="F5" s="15"/>
    </row>
    <row r="6">
      <c r="A6" s="65"/>
      <c r="B6" s="66" t="s">
        <v>35</v>
      </c>
      <c r="C6" s="21"/>
      <c r="D6" s="67"/>
      <c r="E6" s="67"/>
      <c r="F6" s="67"/>
    </row>
    <row r="7">
      <c r="A7" s="68" t="s">
        <v>36</v>
      </c>
      <c r="B7" s="23"/>
      <c r="C7" s="18"/>
      <c r="D7" s="24"/>
      <c r="E7" s="24"/>
      <c r="F7" s="24"/>
    </row>
    <row r="8">
      <c r="A8" s="25"/>
      <c r="B8" s="26" t="s">
        <v>38</v>
      </c>
      <c r="C8" s="18"/>
      <c r="D8" s="24"/>
      <c r="E8" s="24"/>
      <c r="F8" s="24"/>
    </row>
    <row r="9">
      <c r="A9" s="27"/>
      <c r="B9" s="69" t="s">
        <v>39</v>
      </c>
      <c r="C9" s="29"/>
      <c r="D9" s="70"/>
      <c r="E9" s="70"/>
      <c r="F9" s="70"/>
    </row>
    <row r="10">
      <c r="A10" s="71" t="s">
        <v>11</v>
      </c>
      <c r="B10" s="215" t="s">
        <v>41</v>
      </c>
      <c r="C10" s="14"/>
      <c r="D10" s="32"/>
      <c r="E10" s="32"/>
      <c r="F10" s="32"/>
    </row>
    <row r="11">
      <c r="A11" s="7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216" t="s">
        <v>206</v>
      </c>
      <c r="B13" s="217"/>
      <c r="C13" s="217"/>
      <c r="D13" s="217"/>
      <c r="E13" s="217"/>
      <c r="F13" s="217"/>
    </row>
    <row r="14">
      <c r="A14" s="218" t="s">
        <v>207</v>
      </c>
      <c r="B14" s="217"/>
      <c r="C14" s="217"/>
      <c r="D14" s="217"/>
      <c r="E14" s="217"/>
      <c r="F14" s="217"/>
    </row>
    <row r="15">
      <c r="A15" s="45" t="s">
        <v>15</v>
      </c>
      <c r="B15" s="118"/>
      <c r="C15" s="45" t="s">
        <v>16</v>
      </c>
      <c r="D15" s="47" t="s">
        <v>17</v>
      </c>
      <c r="E15" s="47" t="s">
        <v>18</v>
      </c>
      <c r="F15" s="35"/>
    </row>
    <row r="16">
      <c r="A16" s="219" t="s">
        <v>208</v>
      </c>
      <c r="B16" s="80"/>
      <c r="C16" s="220">
        <v>2.0</v>
      </c>
      <c r="D16" s="50" t="b">
        <v>0</v>
      </c>
      <c r="E16" s="50" t="b">
        <v>0</v>
      </c>
      <c r="F16" s="80"/>
    </row>
    <row r="17">
      <c r="A17" s="221" t="s">
        <v>209</v>
      </c>
      <c r="B17" s="80"/>
      <c r="C17" s="222">
        <v>4.0</v>
      </c>
      <c r="D17" s="50" t="b">
        <v>0</v>
      </c>
      <c r="E17" s="50" t="b">
        <v>0</v>
      </c>
      <c r="F17" s="80"/>
    </row>
    <row r="18">
      <c r="A18" s="219"/>
      <c r="B18" s="35"/>
      <c r="C18" s="35"/>
      <c r="D18" s="35"/>
      <c r="E18" s="35"/>
      <c r="F18" s="35"/>
    </row>
    <row r="19">
      <c r="A19" s="223" t="s">
        <v>210</v>
      </c>
    </row>
    <row r="21">
      <c r="A21" s="224" t="s">
        <v>211</v>
      </c>
      <c r="B21" s="19"/>
      <c r="C21" s="19"/>
      <c r="D21" s="19"/>
      <c r="E21" s="19"/>
      <c r="F21" s="19"/>
    </row>
    <row r="22">
      <c r="A22" s="45" t="s">
        <v>15</v>
      </c>
      <c r="B22" s="118"/>
      <c r="C22" s="45" t="s">
        <v>16</v>
      </c>
      <c r="D22" s="47" t="s">
        <v>17</v>
      </c>
      <c r="E22" s="47" t="s">
        <v>18</v>
      </c>
      <c r="F22" s="35"/>
    </row>
    <row r="23">
      <c r="A23" s="225" t="s">
        <v>212</v>
      </c>
      <c r="B23" s="56"/>
      <c r="C23" s="79">
        <v>4.0</v>
      </c>
      <c r="D23" s="50" t="b">
        <v>0</v>
      </c>
      <c r="E23" s="50" t="b">
        <v>0</v>
      </c>
      <c r="F23" s="35"/>
    </row>
    <row r="24">
      <c r="A24" s="35" t="s">
        <v>213</v>
      </c>
      <c r="B24" s="35"/>
      <c r="C24" s="79">
        <v>12.0</v>
      </c>
      <c r="D24" s="50" t="b">
        <v>0</v>
      </c>
      <c r="E24" s="50" t="b">
        <v>0</v>
      </c>
      <c r="F24" s="35"/>
    </row>
    <row r="25">
      <c r="A25" s="48" t="s">
        <v>214</v>
      </c>
      <c r="B25" s="35"/>
      <c r="C25" s="79">
        <v>12.5</v>
      </c>
      <c r="D25" s="50" t="b">
        <v>0</v>
      </c>
      <c r="E25" s="50" t="b">
        <v>0</v>
      </c>
      <c r="F25" s="35"/>
    </row>
    <row r="26">
      <c r="A26" s="48" t="s">
        <v>215</v>
      </c>
      <c r="B26" s="35"/>
      <c r="C26" s="79">
        <v>19.0</v>
      </c>
      <c r="D26" s="50" t="b">
        <v>0</v>
      </c>
      <c r="E26" s="50" t="b">
        <v>0</v>
      </c>
      <c r="F26" s="35"/>
    </row>
    <row r="27">
      <c r="A27" s="225" t="s">
        <v>216</v>
      </c>
      <c r="B27" s="56"/>
      <c r="C27" s="79">
        <v>0.5</v>
      </c>
      <c r="D27" s="50" t="b">
        <v>0</v>
      </c>
      <c r="E27" s="50" t="b">
        <v>0</v>
      </c>
      <c r="F27" s="35"/>
    </row>
    <row r="28">
      <c r="A28" s="35" t="s">
        <v>217</v>
      </c>
      <c r="B28" s="56"/>
      <c r="C28" s="79">
        <v>0.25</v>
      </c>
      <c r="D28" s="50" t="b">
        <v>0</v>
      </c>
      <c r="E28" s="50" t="b">
        <v>0</v>
      </c>
      <c r="F28" s="35"/>
    </row>
    <row r="29">
      <c r="A29" s="35" t="s">
        <v>218</v>
      </c>
      <c r="B29" s="35"/>
      <c r="C29" s="79">
        <v>0.2</v>
      </c>
      <c r="D29" s="50" t="b">
        <v>0</v>
      </c>
      <c r="E29" s="50" t="b">
        <v>0</v>
      </c>
      <c r="F29" s="35"/>
    </row>
    <row r="30">
      <c r="A30" s="225" t="s">
        <v>219</v>
      </c>
      <c r="B30" s="35"/>
      <c r="C30" s="79">
        <v>0.2</v>
      </c>
      <c r="D30" s="50" t="b">
        <v>0</v>
      </c>
      <c r="E30" s="50" t="b">
        <v>0</v>
      </c>
      <c r="F30" s="35"/>
    </row>
    <row r="31">
      <c r="A31" s="35" t="s">
        <v>220</v>
      </c>
      <c r="B31" s="35"/>
      <c r="C31" s="79">
        <v>0.2</v>
      </c>
      <c r="D31" s="50" t="b">
        <v>0</v>
      </c>
      <c r="E31" s="50" t="b">
        <v>0</v>
      </c>
      <c r="F31" s="35"/>
    </row>
    <row r="32">
      <c r="A32" s="35" t="s">
        <v>221</v>
      </c>
      <c r="B32" s="35"/>
      <c r="C32" s="79">
        <v>0.1</v>
      </c>
      <c r="D32" s="50" t="b">
        <v>0</v>
      </c>
      <c r="E32" s="50" t="b">
        <v>0</v>
      </c>
      <c r="F32" s="35"/>
    </row>
    <row r="33">
      <c r="A33" s="35" t="s">
        <v>222</v>
      </c>
      <c r="B33" s="35"/>
      <c r="C33" s="79">
        <v>0.2</v>
      </c>
      <c r="D33" s="50" t="b">
        <v>0</v>
      </c>
      <c r="E33" s="50" t="b">
        <v>0</v>
      </c>
      <c r="F33" s="35"/>
    </row>
    <row r="34">
      <c r="A34" s="35" t="s">
        <v>223</v>
      </c>
      <c r="B34" s="35"/>
      <c r="C34" s="79">
        <v>0.3</v>
      </c>
      <c r="D34" s="50" t="b">
        <v>0</v>
      </c>
      <c r="E34" s="50" t="b">
        <v>0</v>
      </c>
      <c r="F34" s="35"/>
    </row>
    <row r="35">
      <c r="A35" s="225" t="s">
        <v>224</v>
      </c>
      <c r="B35" s="35"/>
      <c r="C35" s="79">
        <v>0.5</v>
      </c>
      <c r="D35" s="50" t="b">
        <v>0</v>
      </c>
      <c r="E35" s="50" t="b">
        <v>0</v>
      </c>
      <c r="F35" s="35"/>
    </row>
    <row r="36">
      <c r="A36" s="78" t="s">
        <v>225</v>
      </c>
      <c r="B36" s="35"/>
      <c r="C36" s="226">
        <v>0.1</v>
      </c>
      <c r="D36" s="50" t="b">
        <v>0</v>
      </c>
      <c r="E36" s="50" t="b">
        <v>0</v>
      </c>
      <c r="F36" s="35"/>
    </row>
    <row r="37">
      <c r="A37" s="219"/>
      <c r="B37" s="35"/>
      <c r="C37" s="35"/>
      <c r="D37" s="35"/>
      <c r="E37" s="35"/>
      <c r="F37" s="35"/>
    </row>
    <row r="38">
      <c r="A38" s="227" t="s">
        <v>226</v>
      </c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28" t="s">
        <v>227</v>
      </c>
      <c r="B40" s="58"/>
      <c r="C40" s="58"/>
      <c r="D40" s="58"/>
      <c r="E40" s="58"/>
      <c r="F40" s="58"/>
    </row>
    <row r="41">
      <c r="A41" s="228" t="s">
        <v>228</v>
      </c>
      <c r="B41" s="58"/>
      <c r="C41" s="58"/>
      <c r="D41" s="58"/>
      <c r="E41" s="58"/>
      <c r="F41" s="58"/>
    </row>
    <row r="42">
      <c r="A42" s="229" t="s">
        <v>229</v>
      </c>
    </row>
    <row r="44">
      <c r="A44" s="228" t="s">
        <v>230</v>
      </c>
      <c r="B44" s="230"/>
      <c r="C44" s="58"/>
      <c r="D44" s="58"/>
      <c r="E44" s="58"/>
      <c r="F44" s="58"/>
    </row>
    <row r="45">
      <c r="A45" s="58"/>
      <c r="B45" s="58"/>
      <c r="C45" s="58"/>
      <c r="D45" s="58"/>
      <c r="E45" s="58"/>
      <c r="F45" s="58"/>
    </row>
    <row r="46">
      <c r="A46" s="231" t="s">
        <v>231</v>
      </c>
      <c r="B46" s="19"/>
      <c r="C46" s="19"/>
      <c r="D46" s="19"/>
      <c r="E46" s="19"/>
      <c r="F46" s="19"/>
    </row>
    <row r="47">
      <c r="A47" s="45" t="s">
        <v>15</v>
      </c>
      <c r="B47" s="118"/>
      <c r="C47" s="45" t="s">
        <v>16</v>
      </c>
      <c r="D47" s="47" t="s">
        <v>232</v>
      </c>
      <c r="E47" s="66"/>
      <c r="F47" s="35"/>
    </row>
    <row r="48">
      <c r="A48" s="225" t="s">
        <v>153</v>
      </c>
      <c r="B48" s="35"/>
      <c r="C48" s="79">
        <v>3.225</v>
      </c>
      <c r="D48" s="50" t="b">
        <v>0</v>
      </c>
      <c r="E48" s="232"/>
      <c r="F48" s="35"/>
    </row>
    <row r="49">
      <c r="A49" s="233" t="s">
        <v>233</v>
      </c>
      <c r="B49" s="82"/>
      <c r="C49" s="234"/>
      <c r="D49" s="82"/>
      <c r="E49" s="82"/>
      <c r="F49" s="82"/>
    </row>
    <row r="50">
      <c r="A50" s="19"/>
      <c r="B50" s="19"/>
      <c r="C50" s="19"/>
      <c r="D50" s="19"/>
      <c r="E50" s="19"/>
      <c r="F50" s="19"/>
    </row>
    <row r="51">
      <c r="A51" s="59" t="s">
        <v>234</v>
      </c>
      <c r="B51" s="60"/>
      <c r="C51" s="60"/>
      <c r="D51" s="60"/>
      <c r="E51" s="60"/>
      <c r="F51" s="60"/>
    </row>
    <row r="52">
      <c r="A52" s="60"/>
      <c r="B52" s="60"/>
      <c r="C52" s="60"/>
      <c r="D52" s="60"/>
      <c r="E52" s="60"/>
      <c r="F52" s="60"/>
    </row>
  </sheetData>
  <mergeCells count="17">
    <mergeCell ref="A1:F1"/>
    <mergeCell ref="B3:C3"/>
    <mergeCell ref="A4:A6"/>
    <mergeCell ref="B4:C4"/>
    <mergeCell ref="B5:C5"/>
    <mergeCell ref="B6:C6"/>
    <mergeCell ref="A7:A9"/>
    <mergeCell ref="B9:C9"/>
    <mergeCell ref="A19:F20"/>
    <mergeCell ref="A42:F43"/>
    <mergeCell ref="B7:C7"/>
    <mergeCell ref="B8:C8"/>
    <mergeCell ref="A10:A11"/>
    <mergeCell ref="B10:C11"/>
    <mergeCell ref="D10:D11"/>
    <mergeCell ref="E10:E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5" t="s">
        <v>235</v>
      </c>
      <c r="B1" s="235">
        <v>20.4</v>
      </c>
      <c r="C1" s="235" t="s">
        <v>236</v>
      </c>
    </row>
    <row r="2">
      <c r="A2" s="114" t="s">
        <v>237</v>
      </c>
      <c r="B2" s="114">
        <v>0.2</v>
      </c>
    </row>
    <row r="3">
      <c r="A3" s="114" t="s">
        <v>238</v>
      </c>
      <c r="B3" s="114">
        <v>0.2</v>
      </c>
    </row>
    <row r="4">
      <c r="A4" s="114" t="s">
        <v>239</v>
      </c>
      <c r="B4" s="114">
        <v>20.0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36" t="s">
        <v>240</v>
      </c>
      <c r="B1" s="9"/>
      <c r="C1" s="9"/>
      <c r="D1" s="9"/>
      <c r="E1" s="9"/>
      <c r="F1" s="9"/>
    </row>
    <row r="2" ht="15.0" customHeight="1">
      <c r="A2" s="7"/>
      <c r="B2" s="8"/>
      <c r="C2" s="8"/>
      <c r="D2" s="237" t="s">
        <v>241</v>
      </c>
      <c r="E2" s="10"/>
      <c r="F2" s="10"/>
    </row>
    <row r="3">
      <c r="A3" s="238" t="s">
        <v>2</v>
      </c>
      <c r="B3" s="239" t="s">
        <v>3</v>
      </c>
      <c r="C3" s="240"/>
      <c r="D3" s="241" t="s">
        <v>4</v>
      </c>
      <c r="E3" s="241" t="s">
        <v>5</v>
      </c>
      <c r="F3" s="241" t="s">
        <v>6</v>
      </c>
    </row>
    <row r="4">
      <c r="A4" s="242" t="s">
        <v>33</v>
      </c>
      <c r="B4" s="243" t="s">
        <v>242</v>
      </c>
      <c r="C4" s="244"/>
      <c r="D4" s="15"/>
      <c r="E4" s="15"/>
      <c r="F4" s="15"/>
    </row>
    <row r="5">
      <c r="A5" s="245"/>
      <c r="B5" s="246" t="s">
        <v>243</v>
      </c>
      <c r="C5" s="14"/>
      <c r="D5" s="17"/>
      <c r="E5" s="15"/>
      <c r="F5" s="15"/>
    </row>
    <row r="6">
      <c r="A6" s="247"/>
      <c r="B6" s="248" t="s">
        <v>244</v>
      </c>
      <c r="C6" s="21"/>
      <c r="D6" s="67"/>
      <c r="E6" s="67"/>
      <c r="F6" s="67"/>
    </row>
    <row r="7">
      <c r="A7" s="68" t="s">
        <v>36</v>
      </c>
      <c r="B7" s="249" t="s">
        <v>245</v>
      </c>
      <c r="C7" s="244"/>
      <c r="D7" s="24"/>
      <c r="E7" s="24"/>
      <c r="F7" s="24"/>
    </row>
    <row r="8">
      <c r="A8" s="25"/>
      <c r="B8" s="250" t="s">
        <v>246</v>
      </c>
      <c r="C8" s="14"/>
      <c r="D8" s="24"/>
      <c r="E8" s="24"/>
      <c r="F8" s="24"/>
    </row>
    <row r="9">
      <c r="A9" s="27"/>
      <c r="B9" s="251" t="s">
        <v>247</v>
      </c>
      <c r="C9" s="21"/>
      <c r="D9" s="70"/>
      <c r="E9" s="70"/>
      <c r="F9" s="70"/>
    </row>
    <row r="10">
      <c r="A10" s="252" t="s">
        <v>11</v>
      </c>
      <c r="B10" s="253" t="s">
        <v>248</v>
      </c>
      <c r="C10" s="244"/>
      <c r="D10" s="32"/>
      <c r="E10" s="32"/>
      <c r="F10" s="32"/>
    </row>
    <row r="11">
      <c r="A11" s="254"/>
      <c r="B11" s="255" t="s">
        <v>249</v>
      </c>
      <c r="C11" s="21"/>
      <c r="D11" s="21"/>
      <c r="E11" s="21"/>
      <c r="F11" s="21"/>
    </row>
    <row r="12">
      <c r="A12" s="19"/>
      <c r="B12" s="19"/>
      <c r="C12" s="19"/>
      <c r="D12" s="19"/>
      <c r="E12" s="19"/>
      <c r="F12" s="36"/>
    </row>
    <row r="13">
      <c r="A13" s="256" t="s">
        <v>250</v>
      </c>
      <c r="B13" s="82"/>
      <c r="C13" s="82"/>
      <c r="D13" s="82"/>
      <c r="E13" s="82"/>
      <c r="F13" s="257"/>
    </row>
    <row r="14">
      <c r="A14" s="258" t="s">
        <v>15</v>
      </c>
      <c r="B14" s="259"/>
      <c r="C14" s="260" t="s">
        <v>16</v>
      </c>
      <c r="D14" s="259"/>
      <c r="E14" s="261" t="s">
        <v>251</v>
      </c>
      <c r="F14" s="261"/>
    </row>
    <row r="15">
      <c r="A15" s="208" t="s">
        <v>45</v>
      </c>
      <c r="B15" s="127"/>
      <c r="C15" s="208">
        <v>60.0</v>
      </c>
      <c r="D15" s="127"/>
      <c r="E15" s="262" t="b">
        <v>0</v>
      </c>
      <c r="F15" s="127"/>
    </row>
    <row r="16">
      <c r="A16" s="127"/>
      <c r="B16" s="127"/>
      <c r="C16" s="208"/>
      <c r="D16" s="127"/>
      <c r="E16" s="127"/>
      <c r="F16" s="263"/>
    </row>
    <row r="17">
      <c r="A17" s="225"/>
      <c r="B17" s="35"/>
      <c r="C17" s="35"/>
      <c r="D17" s="35"/>
      <c r="E17" s="35"/>
      <c r="F17" s="35"/>
    </row>
    <row r="18">
      <c r="A18" s="264" t="s">
        <v>252</v>
      </c>
      <c r="B18" s="82"/>
      <c r="C18" s="82"/>
      <c r="D18" s="82"/>
      <c r="E18" s="82"/>
      <c r="F18" s="82"/>
    </row>
    <row r="19">
      <c r="A19" s="66" t="s">
        <v>15</v>
      </c>
      <c r="B19" s="265" t="s">
        <v>16</v>
      </c>
      <c r="C19" s="35"/>
      <c r="D19" s="35"/>
      <c r="E19" s="35"/>
      <c r="F19" s="35"/>
    </row>
    <row r="20">
      <c r="A20" s="266" t="s">
        <v>253</v>
      </c>
      <c r="B20" s="267">
        <v>26.0</v>
      </c>
      <c r="C20" s="35"/>
      <c r="D20" s="35"/>
      <c r="E20" s="35"/>
      <c r="F20" s="110" t="b">
        <v>0</v>
      </c>
    </row>
    <row r="21">
      <c r="A21" s="266" t="s">
        <v>254</v>
      </c>
      <c r="B21" s="267">
        <v>4.0</v>
      </c>
      <c r="C21" s="35"/>
      <c r="D21" s="35"/>
      <c r="E21" s="35"/>
      <c r="F21" s="110" t="b">
        <v>0</v>
      </c>
    </row>
    <row r="22">
      <c r="A22" s="268" t="s">
        <v>255</v>
      </c>
    </row>
    <row r="24">
      <c r="A24" s="268" t="s">
        <v>256</v>
      </c>
    </row>
    <row r="25">
      <c r="A25" s="35"/>
      <c r="B25" s="35"/>
      <c r="C25" s="35"/>
      <c r="D25" s="35"/>
      <c r="E25" s="35"/>
      <c r="F25" s="35"/>
    </row>
    <row r="26">
      <c r="A26" s="19"/>
      <c r="B26" s="19"/>
      <c r="C26" s="19"/>
      <c r="D26" s="19"/>
      <c r="E26" s="19"/>
      <c r="F26" s="19"/>
    </row>
    <row r="27">
      <c r="A27" s="269" t="s">
        <v>257</v>
      </c>
      <c r="B27" s="159"/>
      <c r="C27" s="159"/>
      <c r="D27" s="159"/>
      <c r="E27" s="159"/>
      <c r="F27" s="270"/>
    </row>
    <row r="28">
      <c r="A28" s="2"/>
      <c r="B28" s="2"/>
      <c r="C28" s="2"/>
      <c r="D28" s="2"/>
      <c r="E28" s="2"/>
      <c r="F28" s="2"/>
    </row>
    <row r="29">
      <c r="A29" s="271" t="s">
        <v>258</v>
      </c>
    </row>
  </sheetData>
  <mergeCells count="19">
    <mergeCell ref="A1:F1"/>
    <mergeCell ref="B3:C3"/>
    <mergeCell ref="A4:A6"/>
    <mergeCell ref="B4:C4"/>
    <mergeCell ref="B5:C5"/>
    <mergeCell ref="B6:C6"/>
    <mergeCell ref="A7:A9"/>
    <mergeCell ref="B9:C9"/>
    <mergeCell ref="B11:C11"/>
    <mergeCell ref="A22:F23"/>
    <mergeCell ref="A24:F24"/>
    <mergeCell ref="A29:F31"/>
    <mergeCell ref="B7:C7"/>
    <mergeCell ref="B8:C8"/>
    <mergeCell ref="A10:A11"/>
    <mergeCell ref="B10:C10"/>
    <mergeCell ref="D10:D11"/>
    <mergeCell ref="E10:E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72" t="s">
        <v>259</v>
      </c>
    </row>
    <row r="2">
      <c r="A2" s="145"/>
      <c r="B2" s="273"/>
      <c r="C2" s="273"/>
      <c r="D2" s="2"/>
      <c r="E2" s="2"/>
      <c r="F2" s="2"/>
    </row>
    <row r="3">
      <c r="A3" s="145"/>
      <c r="B3" s="273"/>
      <c r="C3" s="274"/>
      <c r="D3" s="2"/>
      <c r="E3" s="2"/>
      <c r="F3" s="2"/>
    </row>
    <row r="4">
      <c r="A4" s="3"/>
      <c r="B4" s="275"/>
      <c r="C4" s="275"/>
      <c r="D4" s="115"/>
      <c r="E4" s="115"/>
      <c r="F4" s="115"/>
    </row>
    <row r="5">
      <c r="A5" s="276" t="s">
        <v>2</v>
      </c>
      <c r="B5" s="277" t="s">
        <v>3</v>
      </c>
      <c r="C5" s="21"/>
      <c r="D5" s="278" t="s">
        <v>4</v>
      </c>
      <c r="E5" s="278" t="s">
        <v>5</v>
      </c>
      <c r="F5" s="278" t="s">
        <v>6</v>
      </c>
    </row>
    <row r="6">
      <c r="A6" s="279" t="s">
        <v>33</v>
      </c>
      <c r="B6" s="13" t="s">
        <v>260</v>
      </c>
      <c r="D6" s="280"/>
      <c r="E6" s="280"/>
      <c r="F6" s="280"/>
    </row>
    <row r="7">
      <c r="A7" s="25"/>
      <c r="B7" s="117" t="s">
        <v>261</v>
      </c>
      <c r="D7" s="14"/>
      <c r="E7" s="14"/>
      <c r="F7" s="14"/>
    </row>
    <row r="8">
      <c r="A8" s="27"/>
      <c r="B8" s="184" t="s">
        <v>262</v>
      </c>
      <c r="C8" s="9"/>
      <c r="D8" s="21"/>
      <c r="E8" s="21"/>
      <c r="F8" s="21"/>
    </row>
    <row r="9">
      <c r="A9" s="281" t="s">
        <v>36</v>
      </c>
      <c r="B9" s="26" t="s">
        <v>263</v>
      </c>
      <c r="C9" s="14"/>
      <c r="D9" s="24"/>
      <c r="E9" s="24"/>
      <c r="F9" s="24"/>
    </row>
    <row r="10">
      <c r="A10" s="25"/>
      <c r="B10" s="26" t="s">
        <v>264</v>
      </c>
      <c r="D10" s="14"/>
      <c r="E10" s="14"/>
      <c r="F10" s="14"/>
    </row>
    <row r="11">
      <c r="A11" s="27"/>
      <c r="B11" s="28"/>
      <c r="C11" s="9"/>
      <c r="D11" s="21"/>
      <c r="E11" s="21"/>
      <c r="F11" s="21"/>
    </row>
    <row r="12">
      <c r="A12" s="282" t="s">
        <v>9</v>
      </c>
      <c r="B12" s="283" t="s">
        <v>265</v>
      </c>
      <c r="C12" s="14"/>
      <c r="D12" s="284"/>
      <c r="E12" s="284"/>
      <c r="F12" s="284"/>
    </row>
    <row r="13">
      <c r="A13" s="27"/>
      <c r="B13" s="285" t="s">
        <v>266</v>
      </c>
      <c r="C13" s="9"/>
      <c r="D13" s="21"/>
      <c r="E13" s="21"/>
      <c r="F13" s="21"/>
    </row>
    <row r="14">
      <c r="A14" s="286" t="s">
        <v>11</v>
      </c>
      <c r="B14" s="31" t="s">
        <v>267</v>
      </c>
      <c r="C14" s="14"/>
      <c r="D14" s="32"/>
      <c r="E14" s="32"/>
      <c r="F14" s="32"/>
    </row>
    <row r="15">
      <c r="A15" s="25"/>
      <c r="B15" s="31" t="s">
        <v>268</v>
      </c>
      <c r="D15" s="14"/>
      <c r="E15" s="14"/>
      <c r="F15" s="14"/>
    </row>
    <row r="16">
      <c r="A16" s="27"/>
      <c r="B16" s="287" t="s">
        <v>11</v>
      </c>
      <c r="C16" s="9"/>
      <c r="D16" s="21"/>
      <c r="E16" s="21"/>
      <c r="F16" s="21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125" t="s">
        <v>269</v>
      </c>
      <c r="B19" s="2"/>
      <c r="C19" s="2"/>
      <c r="D19" s="2"/>
      <c r="E19" s="2"/>
      <c r="F19" s="2"/>
    </row>
    <row r="20">
      <c r="A20" s="288" t="s">
        <v>15</v>
      </c>
      <c r="B20" s="35"/>
      <c r="C20" s="289" t="s">
        <v>16</v>
      </c>
      <c r="D20" s="35"/>
      <c r="E20" s="35"/>
      <c r="F20" s="35"/>
    </row>
    <row r="21">
      <c r="A21" s="225" t="s">
        <v>270</v>
      </c>
      <c r="B21" s="35"/>
      <c r="C21" s="290">
        <v>80.0</v>
      </c>
      <c r="D21" s="35"/>
      <c r="E21" s="50" t="b">
        <v>0</v>
      </c>
      <c r="F21" s="35"/>
    </row>
    <row r="22">
      <c r="A22" s="35" t="s">
        <v>271</v>
      </c>
      <c r="B22" s="35"/>
      <c r="C22" s="291">
        <v>0.25</v>
      </c>
      <c r="D22" s="35"/>
      <c r="E22" s="50" t="b">
        <v>0</v>
      </c>
      <c r="F22" s="35"/>
    </row>
    <row r="23">
      <c r="A23" s="35" t="s">
        <v>272</v>
      </c>
      <c r="B23" s="35"/>
      <c r="C23" s="291">
        <v>0.25</v>
      </c>
      <c r="D23" s="35"/>
      <c r="E23" s="50" t="b">
        <v>0</v>
      </c>
      <c r="F23" s="35"/>
    </row>
    <row r="24">
      <c r="A24" s="35" t="s">
        <v>273</v>
      </c>
      <c r="B24" s="35"/>
      <c r="C24" s="290">
        <v>80.0</v>
      </c>
      <c r="D24" s="35"/>
      <c r="E24" s="50" t="b">
        <v>0</v>
      </c>
      <c r="F24" s="35"/>
    </row>
    <row r="25">
      <c r="A25" s="35" t="s">
        <v>271</v>
      </c>
      <c r="B25" s="35"/>
      <c r="C25" s="291">
        <v>0.25</v>
      </c>
      <c r="D25" s="35"/>
      <c r="E25" s="50" t="b">
        <v>0</v>
      </c>
      <c r="F25" s="35"/>
    </row>
    <row r="26">
      <c r="A26" s="35" t="s">
        <v>272</v>
      </c>
      <c r="B26" s="35"/>
      <c r="C26" s="291">
        <v>0.25</v>
      </c>
      <c r="D26" s="35"/>
      <c r="E26" s="50" t="b">
        <v>0</v>
      </c>
      <c r="F26" s="35"/>
    </row>
    <row r="27">
      <c r="A27" s="35"/>
      <c r="B27" s="35"/>
      <c r="C27" s="35"/>
      <c r="D27" s="35"/>
      <c r="E27" s="35"/>
      <c r="F27" s="35"/>
    </row>
    <row r="28">
      <c r="A28" s="2"/>
      <c r="B28" s="2"/>
      <c r="C28" s="2"/>
      <c r="D28" s="2"/>
      <c r="E28" s="2"/>
      <c r="F28" s="2"/>
    </row>
    <row r="29">
      <c r="A29" s="292" t="s">
        <v>274</v>
      </c>
      <c r="B29" s="2"/>
      <c r="C29" s="2"/>
      <c r="D29" s="2"/>
      <c r="E29" s="2"/>
      <c r="F29" s="2"/>
    </row>
    <row r="30">
      <c r="A30" s="293" t="s">
        <v>275</v>
      </c>
      <c r="C30" s="2"/>
      <c r="D30" s="2"/>
      <c r="E30" s="2"/>
      <c r="F30" s="2"/>
    </row>
    <row r="31">
      <c r="A31" s="294" t="s">
        <v>276</v>
      </c>
    </row>
    <row r="32">
      <c r="A32" s="86" t="s">
        <v>277</v>
      </c>
      <c r="B32" s="19"/>
      <c r="C32" s="19"/>
      <c r="D32" s="19"/>
      <c r="E32" s="19"/>
      <c r="F32" s="19"/>
    </row>
    <row r="33">
      <c r="A33" s="45" t="s">
        <v>15</v>
      </c>
      <c r="B33" s="76" t="s">
        <v>16</v>
      </c>
      <c r="C33" s="35" t="s">
        <v>278</v>
      </c>
      <c r="D33" s="35" t="s">
        <v>279</v>
      </c>
      <c r="E33" s="78" t="s">
        <v>280</v>
      </c>
      <c r="F33" s="78" t="s">
        <v>281</v>
      </c>
    </row>
    <row r="34">
      <c r="A34" s="35" t="s">
        <v>282</v>
      </c>
      <c r="B34" s="290">
        <v>0.75</v>
      </c>
      <c r="C34" s="50" t="b">
        <v>0</v>
      </c>
      <c r="D34" s="50" t="b">
        <v>0</v>
      </c>
      <c r="E34" s="50" t="b">
        <v>0</v>
      </c>
      <c r="F34" s="50" t="b">
        <v>0</v>
      </c>
    </row>
    <row r="35">
      <c r="A35" s="35" t="s">
        <v>253</v>
      </c>
      <c r="B35" s="79">
        <v>1.0</v>
      </c>
      <c r="C35" s="50" t="b">
        <v>0</v>
      </c>
      <c r="D35" s="50" t="b">
        <v>0</v>
      </c>
      <c r="E35" s="50" t="b">
        <v>0</v>
      </c>
      <c r="F35" s="50" t="b">
        <v>0</v>
      </c>
    </row>
    <row r="36">
      <c r="A36" s="78" t="s">
        <v>283</v>
      </c>
      <c r="B36" s="78">
        <v>2.34</v>
      </c>
      <c r="C36" s="50" t="b">
        <v>0</v>
      </c>
      <c r="D36" s="50" t="b">
        <v>0</v>
      </c>
      <c r="E36" s="50" t="b">
        <v>0</v>
      </c>
      <c r="F36" s="50" t="b">
        <v>0</v>
      </c>
    </row>
    <row r="37">
      <c r="A37" s="256" t="s">
        <v>284</v>
      </c>
      <c r="B37" s="82"/>
      <c r="C37" s="82"/>
      <c r="D37" s="82"/>
      <c r="E37" s="82"/>
      <c r="F37" s="82"/>
    </row>
    <row r="38">
      <c r="A38" s="36"/>
      <c r="B38" s="295"/>
      <c r="C38" s="19"/>
      <c r="D38" s="19"/>
      <c r="E38" s="161"/>
      <c r="F38" s="161"/>
    </row>
    <row r="39">
      <c r="A39" s="45" t="s">
        <v>15</v>
      </c>
      <c r="B39" s="76" t="s">
        <v>16</v>
      </c>
      <c r="C39" s="35" t="s">
        <v>278</v>
      </c>
      <c r="D39" s="35" t="s">
        <v>279</v>
      </c>
      <c r="E39" s="78" t="s">
        <v>280</v>
      </c>
      <c r="F39" s="78" t="s">
        <v>281</v>
      </c>
    </row>
    <row r="40">
      <c r="A40" s="35" t="s">
        <v>285</v>
      </c>
      <c r="B40" s="79">
        <v>2.4</v>
      </c>
      <c r="C40" s="50" t="b">
        <v>0</v>
      </c>
      <c r="D40" s="50" t="b">
        <v>0</v>
      </c>
      <c r="E40" s="50" t="b">
        <v>0</v>
      </c>
      <c r="F40" s="50" t="b">
        <v>0</v>
      </c>
    </row>
    <row r="41">
      <c r="A41" s="35" t="s">
        <v>286</v>
      </c>
      <c r="B41" s="79">
        <v>4.0</v>
      </c>
      <c r="C41" s="50" t="b">
        <v>0</v>
      </c>
      <c r="D41" s="50" t="b">
        <v>0</v>
      </c>
      <c r="E41" s="50" t="b">
        <v>0</v>
      </c>
      <c r="F41" s="50" t="b">
        <v>0</v>
      </c>
    </row>
    <row r="42">
      <c r="A42" s="296" t="s">
        <v>287</v>
      </c>
      <c r="B42" s="297">
        <v>10.0</v>
      </c>
      <c r="C42" s="50" t="b">
        <v>0</v>
      </c>
      <c r="D42" s="50" t="b">
        <v>0</v>
      </c>
      <c r="E42" s="50" t="b">
        <v>0</v>
      </c>
      <c r="F42" s="50" t="b">
        <v>0</v>
      </c>
    </row>
    <row r="43">
      <c r="A43" s="35"/>
      <c r="B43" s="118"/>
      <c r="C43" s="298"/>
      <c r="D43" s="35"/>
      <c r="E43" s="35"/>
      <c r="F43" s="35"/>
    </row>
    <row r="44">
      <c r="A44" s="256" t="s">
        <v>288</v>
      </c>
      <c r="B44" s="82"/>
      <c r="C44" s="234"/>
      <c r="D44" s="82"/>
      <c r="E44" s="82"/>
      <c r="F44" s="82"/>
    </row>
    <row r="45">
      <c r="A45" s="35"/>
      <c r="B45" s="35"/>
      <c r="C45" s="35"/>
      <c r="D45" s="35"/>
      <c r="E45" s="35"/>
      <c r="F45" s="35"/>
    </row>
    <row r="46">
      <c r="A46" s="299" t="s">
        <v>289</v>
      </c>
      <c r="B46" s="19"/>
      <c r="C46" s="19"/>
      <c r="D46" s="19"/>
      <c r="E46" s="19"/>
      <c r="F46" s="19"/>
    </row>
    <row r="47">
      <c r="A47" s="256" t="s">
        <v>290</v>
      </c>
      <c r="B47" s="82"/>
      <c r="C47" s="82"/>
      <c r="D47" s="82"/>
      <c r="E47" s="82"/>
      <c r="F47" s="82"/>
    </row>
    <row r="48">
      <c r="A48" s="98" t="s">
        <v>15</v>
      </c>
      <c r="B48" s="99" t="s">
        <v>16</v>
      </c>
      <c r="C48" s="58" t="s">
        <v>63</v>
      </c>
      <c r="D48" s="58" t="s">
        <v>64</v>
      </c>
      <c r="E48" s="300" t="s">
        <v>75</v>
      </c>
      <c r="F48" s="300" t="s">
        <v>76</v>
      </c>
    </row>
    <row r="49">
      <c r="A49" s="58" t="s">
        <v>116</v>
      </c>
      <c r="B49" s="91">
        <v>6.5</v>
      </c>
      <c r="C49" s="50" t="b">
        <v>0</v>
      </c>
      <c r="D49" s="50" t="b">
        <v>0</v>
      </c>
      <c r="E49" s="50" t="b">
        <v>0</v>
      </c>
      <c r="F49" s="50" t="b">
        <v>0</v>
      </c>
    </row>
    <row r="50">
      <c r="A50" s="58"/>
      <c r="B50" s="58"/>
      <c r="C50" s="58"/>
      <c r="D50" s="58"/>
      <c r="E50" s="58"/>
      <c r="F50" s="58"/>
    </row>
    <row r="51">
      <c r="A51" s="58"/>
      <c r="B51" s="58"/>
      <c r="C51" s="58"/>
      <c r="D51" s="58"/>
      <c r="E51" s="58"/>
      <c r="F51" s="58"/>
    </row>
    <row r="52">
      <c r="A52" s="301" t="s">
        <v>291</v>
      </c>
    </row>
    <row r="54">
      <c r="A54" s="302" t="s">
        <v>292</v>
      </c>
    </row>
    <row r="56">
      <c r="A56" s="303" t="s">
        <v>293</v>
      </c>
      <c r="B56" s="82"/>
      <c r="C56" s="82"/>
      <c r="D56" s="82"/>
      <c r="E56" s="82"/>
      <c r="F56" s="82"/>
    </row>
    <row r="57">
      <c r="A57" s="304" t="s">
        <v>15</v>
      </c>
      <c r="B57" s="305" t="s">
        <v>294</v>
      </c>
      <c r="C57" s="306" t="s">
        <v>17</v>
      </c>
      <c r="D57" s="307" t="s">
        <v>18</v>
      </c>
      <c r="E57" s="307" t="s">
        <v>19</v>
      </c>
      <c r="F57" s="307" t="s">
        <v>20</v>
      </c>
    </row>
    <row r="58">
      <c r="A58" s="308" t="s">
        <v>295</v>
      </c>
      <c r="B58" s="309" t="s">
        <v>296</v>
      </c>
      <c r="C58" s="82" t="b">
        <v>0</v>
      </c>
      <c r="D58" s="50" t="b">
        <v>0</v>
      </c>
      <c r="E58" s="50" t="b">
        <v>0</v>
      </c>
      <c r="F58" s="2" t="b">
        <v>0</v>
      </c>
    </row>
    <row r="59">
      <c r="A59" s="308" t="s">
        <v>297</v>
      </c>
      <c r="B59" s="309" t="s">
        <v>296</v>
      </c>
      <c r="C59" s="82" t="b">
        <v>0</v>
      </c>
      <c r="D59" s="50" t="b">
        <v>0</v>
      </c>
      <c r="E59" s="50" t="b">
        <v>0</v>
      </c>
      <c r="F59" s="2" t="b">
        <v>0</v>
      </c>
    </row>
    <row r="60">
      <c r="A60" s="308" t="s">
        <v>298</v>
      </c>
      <c r="B60" s="310">
        <v>5.0</v>
      </c>
      <c r="C60" s="111" t="b">
        <v>0</v>
      </c>
      <c r="D60" s="82" t="b">
        <v>0</v>
      </c>
      <c r="E60" s="50" t="b">
        <v>0</v>
      </c>
      <c r="F60" s="50" t="b">
        <v>0</v>
      </c>
    </row>
    <row r="61">
      <c r="A61" s="308" t="s">
        <v>299</v>
      </c>
      <c r="B61" s="310">
        <v>12.7</v>
      </c>
      <c r="C61" s="111" t="b">
        <v>0</v>
      </c>
      <c r="D61" s="82" t="b">
        <v>0</v>
      </c>
      <c r="E61" s="50" t="b">
        <v>0</v>
      </c>
      <c r="F61" s="50" t="b">
        <v>0</v>
      </c>
    </row>
    <row r="62">
      <c r="A62" s="311" t="s">
        <v>300</v>
      </c>
      <c r="B62" s="308"/>
      <c r="C62" s="312"/>
      <c r="D62" s="308"/>
      <c r="E62" s="308"/>
      <c r="F62" s="308"/>
    </row>
    <row r="63">
      <c r="A63" s="313" t="s">
        <v>301</v>
      </c>
      <c r="B63" s="308"/>
      <c r="C63" s="308"/>
      <c r="D63" s="308"/>
      <c r="E63" s="308"/>
      <c r="F63" s="308"/>
    </row>
    <row r="64">
      <c r="A64" s="314" t="s">
        <v>302</v>
      </c>
      <c r="B64" s="308"/>
      <c r="C64" s="308"/>
      <c r="D64" s="308"/>
      <c r="E64" s="308"/>
      <c r="F64" s="308"/>
    </row>
    <row r="65">
      <c r="A65" s="308"/>
      <c r="B65" s="308"/>
      <c r="C65" s="308"/>
      <c r="D65" s="308"/>
      <c r="E65" s="308"/>
      <c r="F65" s="308"/>
    </row>
    <row r="66">
      <c r="A66" s="315" t="s">
        <v>303</v>
      </c>
      <c r="B66" s="308"/>
      <c r="C66" s="308"/>
      <c r="D66" s="308"/>
      <c r="E66" s="308"/>
      <c r="F66" s="308"/>
    </row>
    <row r="67">
      <c r="A67" s="2"/>
      <c r="B67" s="2"/>
      <c r="C67" s="2"/>
      <c r="D67" s="2"/>
      <c r="E67" s="2"/>
      <c r="F67" s="2"/>
    </row>
    <row r="68">
      <c r="A68" s="316" t="s">
        <v>304</v>
      </c>
    </row>
    <row r="70">
      <c r="A70" s="95" t="s">
        <v>305</v>
      </c>
      <c r="B70" s="58"/>
      <c r="C70" s="58"/>
      <c r="D70" s="58"/>
      <c r="E70" s="58"/>
      <c r="F70" s="58"/>
    </row>
    <row r="71">
      <c r="A71" s="317" t="s">
        <v>306</v>
      </c>
    </row>
  </sheetData>
  <mergeCells count="35">
    <mergeCell ref="A1:F1"/>
    <mergeCell ref="B5:C5"/>
    <mergeCell ref="A6:A8"/>
    <mergeCell ref="B6:C6"/>
    <mergeCell ref="D6:D8"/>
    <mergeCell ref="E6:E8"/>
    <mergeCell ref="F6:F8"/>
    <mergeCell ref="B7:C7"/>
    <mergeCell ref="B8:C8"/>
    <mergeCell ref="A9:A11"/>
    <mergeCell ref="B9:C9"/>
    <mergeCell ref="D9:D11"/>
    <mergeCell ref="E9:E11"/>
    <mergeCell ref="F9:F11"/>
    <mergeCell ref="A12:A13"/>
    <mergeCell ref="A14:A16"/>
    <mergeCell ref="A30:B30"/>
    <mergeCell ref="A31:F31"/>
    <mergeCell ref="A52:F53"/>
    <mergeCell ref="A54:F55"/>
    <mergeCell ref="A68:F69"/>
    <mergeCell ref="A71:F72"/>
    <mergeCell ref="D12:D13"/>
    <mergeCell ref="D14:D16"/>
    <mergeCell ref="E14:E16"/>
    <mergeCell ref="F14:F16"/>
    <mergeCell ref="B15:C15"/>
    <mergeCell ref="B16:C16"/>
    <mergeCell ref="B10:C10"/>
    <mergeCell ref="B11:C11"/>
    <mergeCell ref="B12:C12"/>
    <mergeCell ref="E12:E13"/>
    <mergeCell ref="F12:F13"/>
    <mergeCell ref="B13:C13"/>
    <mergeCell ref="B14:C1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4.75"/>
  </cols>
  <sheetData>
    <row r="1">
      <c r="A1" s="318" t="s">
        <v>307</v>
      </c>
    </row>
    <row r="2">
      <c r="A2" s="145"/>
      <c r="B2" s="273"/>
      <c r="C2" s="273"/>
      <c r="D2" s="2"/>
      <c r="E2" s="2"/>
      <c r="F2" s="2"/>
    </row>
    <row r="3">
      <c r="A3" s="145"/>
      <c r="B3" s="273"/>
      <c r="C3" s="273"/>
      <c r="D3" s="2"/>
      <c r="E3" s="2"/>
      <c r="F3" s="2"/>
    </row>
    <row r="4">
      <c r="A4" s="3"/>
      <c r="B4" s="275"/>
      <c r="C4" s="275"/>
      <c r="D4" s="115"/>
      <c r="E4" s="115"/>
      <c r="F4" s="115"/>
    </row>
    <row r="5">
      <c r="A5" s="276" t="s">
        <v>2</v>
      </c>
      <c r="B5" s="277" t="s">
        <v>3</v>
      </c>
      <c r="C5" s="21"/>
      <c r="D5" s="278" t="s">
        <v>4</v>
      </c>
      <c r="E5" s="278" t="s">
        <v>5</v>
      </c>
      <c r="F5" s="278" t="s">
        <v>6</v>
      </c>
    </row>
    <row r="6">
      <c r="A6" s="279" t="s">
        <v>33</v>
      </c>
      <c r="B6" s="13" t="s">
        <v>260</v>
      </c>
      <c r="D6" s="280"/>
      <c r="E6" s="280"/>
      <c r="F6" s="280"/>
    </row>
    <row r="7">
      <c r="A7" s="25"/>
      <c r="B7" s="117" t="s">
        <v>261</v>
      </c>
      <c r="D7" s="14"/>
      <c r="E7" s="14"/>
      <c r="F7" s="14"/>
    </row>
    <row r="8">
      <c r="A8" s="27"/>
      <c r="B8" s="150"/>
      <c r="C8" s="9"/>
      <c r="D8" s="21"/>
      <c r="E8" s="21"/>
      <c r="F8" s="21"/>
    </row>
    <row r="9">
      <c r="A9" s="281" t="s">
        <v>36</v>
      </c>
      <c r="B9" s="26" t="s">
        <v>308</v>
      </c>
      <c r="C9" s="14"/>
      <c r="D9" s="24"/>
      <c r="E9" s="24"/>
      <c r="F9" s="24"/>
    </row>
    <row r="10">
      <c r="A10" s="25"/>
      <c r="B10" s="26" t="s">
        <v>309</v>
      </c>
      <c r="C10" s="14"/>
      <c r="D10" s="14"/>
      <c r="E10" s="14"/>
      <c r="F10" s="14"/>
    </row>
    <row r="11">
      <c r="A11" s="27"/>
      <c r="B11" s="28"/>
      <c r="C11" s="21"/>
      <c r="D11" s="21"/>
      <c r="E11" s="21"/>
      <c r="F11" s="21"/>
    </row>
    <row r="12">
      <c r="A12" s="282" t="s">
        <v>9</v>
      </c>
      <c r="B12" s="283" t="s">
        <v>265</v>
      </c>
      <c r="C12" s="14"/>
      <c r="D12" s="284"/>
      <c r="E12" s="284"/>
      <c r="F12" s="284"/>
    </row>
    <row r="13">
      <c r="A13" s="27"/>
      <c r="B13" s="285" t="s">
        <v>266</v>
      </c>
      <c r="C13" s="21"/>
      <c r="D13" s="21"/>
      <c r="E13" s="21"/>
      <c r="F13" s="21"/>
    </row>
    <row r="14">
      <c r="A14" s="286" t="s">
        <v>11</v>
      </c>
      <c r="B14" s="31" t="s">
        <v>267</v>
      </c>
      <c r="C14" s="14"/>
      <c r="D14" s="32"/>
      <c r="E14" s="32"/>
      <c r="F14" s="32"/>
    </row>
    <row r="15">
      <c r="A15" s="25"/>
      <c r="B15" s="31" t="s">
        <v>268</v>
      </c>
      <c r="C15" s="14"/>
      <c r="D15" s="14"/>
      <c r="E15" s="14"/>
      <c r="F15" s="14"/>
    </row>
    <row r="16">
      <c r="A16" s="27"/>
      <c r="B16" s="287" t="s">
        <v>11</v>
      </c>
      <c r="C16" s="21"/>
      <c r="D16" s="21"/>
      <c r="E16" s="21"/>
      <c r="F16" s="21"/>
    </row>
    <row r="17">
      <c r="A17" s="2"/>
      <c r="B17" s="2"/>
      <c r="C17" s="2"/>
      <c r="D17" s="2"/>
      <c r="E17" s="2"/>
      <c r="F17" s="2"/>
    </row>
    <row r="18">
      <c r="A18" s="292" t="s">
        <v>310</v>
      </c>
      <c r="B18" s="2"/>
      <c r="C18" s="2"/>
      <c r="D18" s="2"/>
      <c r="E18" s="2"/>
      <c r="F18" s="2"/>
    </row>
    <row r="19">
      <c r="A19" s="319" t="s">
        <v>311</v>
      </c>
      <c r="B19" s="2"/>
      <c r="C19" s="2"/>
      <c r="D19" s="2"/>
      <c r="E19" s="2"/>
      <c r="F19" s="2"/>
    </row>
    <row r="20">
      <c r="A20" s="126" t="s">
        <v>15</v>
      </c>
      <c r="B20" s="35"/>
      <c r="C20" s="320" t="s">
        <v>16</v>
      </c>
      <c r="D20" s="35"/>
      <c r="E20" s="35"/>
      <c r="F20" s="35"/>
    </row>
    <row r="21">
      <c r="A21" s="35" t="s">
        <v>273</v>
      </c>
      <c r="B21" s="35"/>
      <c r="C21" s="321">
        <v>80.0</v>
      </c>
      <c r="D21" s="35"/>
      <c r="E21" s="50" t="b">
        <v>0</v>
      </c>
      <c r="F21" s="35"/>
    </row>
    <row r="22">
      <c r="A22" s="35" t="s">
        <v>271</v>
      </c>
      <c r="B22" s="35"/>
      <c r="C22" s="322">
        <v>0.375</v>
      </c>
      <c r="D22" s="35"/>
      <c r="E22" s="50" t="b">
        <v>0</v>
      </c>
      <c r="F22" s="35"/>
    </row>
    <row r="23">
      <c r="A23" s="225" t="s">
        <v>312</v>
      </c>
      <c r="B23" s="35"/>
      <c r="C23" s="322">
        <v>0.0625</v>
      </c>
      <c r="D23" s="35"/>
      <c r="E23" s="50" t="b">
        <v>0</v>
      </c>
      <c r="F23" s="35"/>
    </row>
    <row r="24">
      <c r="A24" s="319" t="s">
        <v>313</v>
      </c>
      <c r="B24" s="19"/>
      <c r="C24" s="19"/>
      <c r="D24" s="19"/>
      <c r="E24" s="19"/>
      <c r="F24" s="19"/>
    </row>
    <row r="25">
      <c r="A25" s="126" t="s">
        <v>15</v>
      </c>
      <c r="B25" s="35"/>
      <c r="C25" s="320" t="s">
        <v>16</v>
      </c>
      <c r="D25" s="35"/>
      <c r="E25" s="35"/>
      <c r="F25" s="35"/>
    </row>
    <row r="26">
      <c r="A26" s="78" t="s">
        <v>314</v>
      </c>
      <c r="B26" s="35"/>
      <c r="C26" s="290">
        <v>33.0</v>
      </c>
      <c r="D26" s="35"/>
      <c r="E26" s="50" t="b">
        <v>0</v>
      </c>
      <c r="F26" s="35"/>
    </row>
    <row r="27">
      <c r="A27" s="35" t="s">
        <v>271</v>
      </c>
      <c r="B27" s="35"/>
      <c r="C27" s="322">
        <v>0.375</v>
      </c>
      <c r="D27" s="35"/>
      <c r="E27" s="50" t="b">
        <v>0</v>
      </c>
      <c r="F27" s="35"/>
    </row>
    <row r="28">
      <c r="A28" s="225" t="s">
        <v>312</v>
      </c>
      <c r="B28" s="35"/>
      <c r="C28" s="322">
        <v>0.0625</v>
      </c>
      <c r="D28" s="35"/>
      <c r="E28" s="50" t="b">
        <v>0</v>
      </c>
      <c r="F28" s="35"/>
    </row>
    <row r="29">
      <c r="A29" s="126"/>
      <c r="B29" s="35"/>
      <c r="C29" s="35"/>
      <c r="D29" s="35"/>
      <c r="E29" s="35"/>
      <c r="F29" s="35"/>
    </row>
    <row r="30">
      <c r="A30" s="323" t="s">
        <v>315</v>
      </c>
      <c r="B30" s="2"/>
      <c r="C30" s="2"/>
      <c r="D30" s="2"/>
      <c r="E30" s="2"/>
      <c r="F30" s="2"/>
    </row>
    <row r="31">
      <c r="A31" s="324" t="s">
        <v>316</v>
      </c>
      <c r="B31" s="19"/>
      <c r="C31" s="19"/>
      <c r="D31" s="19"/>
      <c r="E31" s="19"/>
      <c r="F31" s="19"/>
    </row>
    <row r="32">
      <c r="A32" s="45" t="s">
        <v>15</v>
      </c>
      <c r="B32" s="118"/>
      <c r="C32" s="76" t="s">
        <v>16</v>
      </c>
      <c r="D32" s="35"/>
      <c r="E32" s="35"/>
      <c r="F32" s="35"/>
    </row>
    <row r="33">
      <c r="A33" s="35" t="s">
        <v>317</v>
      </c>
      <c r="B33" s="35"/>
      <c r="C33" s="290">
        <v>5.0</v>
      </c>
      <c r="D33" s="35"/>
      <c r="E33" s="50" t="b">
        <v>0</v>
      </c>
      <c r="F33" s="35"/>
    </row>
    <row r="34">
      <c r="A34" s="35"/>
      <c r="B34" s="35"/>
      <c r="C34" s="56"/>
      <c r="D34" s="35"/>
      <c r="E34" s="35"/>
      <c r="F34" s="35"/>
    </row>
    <row r="35">
      <c r="A35" s="19"/>
      <c r="B35" s="19"/>
      <c r="C35" s="19"/>
      <c r="D35" s="19"/>
      <c r="E35" s="19"/>
      <c r="F35" s="19"/>
    </row>
    <row r="36">
      <c r="A36" s="19"/>
      <c r="B36" s="19"/>
      <c r="C36" s="19"/>
      <c r="D36" s="19"/>
      <c r="E36" s="19"/>
      <c r="F36" s="19"/>
    </row>
    <row r="37">
      <c r="A37" s="19"/>
      <c r="B37" s="19"/>
      <c r="C37" s="19"/>
      <c r="D37" s="19"/>
      <c r="E37" s="19"/>
      <c r="F37" s="19"/>
    </row>
    <row r="38">
      <c r="A38" s="19"/>
      <c r="B38" s="19"/>
      <c r="C38" s="19"/>
      <c r="D38" s="19"/>
      <c r="E38" s="19"/>
      <c r="F38" s="19"/>
    </row>
    <row r="39">
      <c r="A39" s="19"/>
      <c r="B39" s="19"/>
      <c r="C39" s="19"/>
      <c r="D39" s="19"/>
      <c r="E39" s="19"/>
      <c r="F39" s="19"/>
    </row>
    <row r="40">
      <c r="A40" s="19"/>
      <c r="B40" s="19"/>
      <c r="C40" s="19"/>
      <c r="D40" s="19"/>
      <c r="E40" s="19"/>
      <c r="F40" s="19"/>
    </row>
    <row r="41">
      <c r="A41" s="19"/>
      <c r="B41" s="19"/>
      <c r="C41" s="19"/>
      <c r="D41" s="19"/>
      <c r="E41" s="19"/>
      <c r="F41" s="19"/>
    </row>
    <row r="42">
      <c r="A42" s="19"/>
      <c r="B42" s="19"/>
      <c r="C42" s="19"/>
      <c r="D42" s="19"/>
      <c r="E42" s="19"/>
      <c r="F42" s="19"/>
    </row>
    <row r="43">
      <c r="A43" s="19"/>
      <c r="B43" s="19"/>
      <c r="C43" s="19"/>
      <c r="D43" s="19"/>
      <c r="E43" s="19"/>
      <c r="F43" s="19"/>
    </row>
    <row r="44">
      <c r="A44" s="19"/>
      <c r="B44" s="19"/>
      <c r="C44" s="19"/>
      <c r="D44" s="19"/>
      <c r="E44" s="19"/>
      <c r="F44" s="19"/>
    </row>
    <row r="45">
      <c r="A45" s="19"/>
      <c r="B45" s="19"/>
      <c r="C45" s="19"/>
      <c r="D45" s="19"/>
      <c r="E45" s="19"/>
      <c r="F45" s="19"/>
    </row>
    <row r="46">
      <c r="A46" s="299" t="s">
        <v>318</v>
      </c>
      <c r="B46" s="19"/>
      <c r="C46" s="19"/>
      <c r="D46" s="19"/>
      <c r="E46" s="19"/>
      <c r="F46" s="19"/>
    </row>
    <row r="47">
      <c r="A47" s="57" t="s">
        <v>319</v>
      </c>
      <c r="B47" s="58"/>
      <c r="C47" s="58"/>
      <c r="D47" s="58"/>
      <c r="E47" s="58"/>
      <c r="F47" s="58"/>
    </row>
    <row r="48">
      <c r="A48" s="98" t="s">
        <v>15</v>
      </c>
      <c r="B48" s="157"/>
      <c r="C48" s="99" t="s">
        <v>16</v>
      </c>
      <c r="D48" s="58"/>
      <c r="E48" s="325" t="s">
        <v>63</v>
      </c>
      <c r="F48" s="325" t="s">
        <v>64</v>
      </c>
    </row>
    <row r="49">
      <c r="A49" s="58" t="s">
        <v>320</v>
      </c>
      <c r="B49" s="58"/>
      <c r="C49" s="326">
        <v>5.0</v>
      </c>
      <c r="D49" s="58"/>
      <c r="E49" s="50" t="b">
        <v>0</v>
      </c>
      <c r="F49" s="50" t="b">
        <v>0</v>
      </c>
    </row>
    <row r="50">
      <c r="A50" s="58"/>
      <c r="B50" s="58"/>
      <c r="C50" s="230"/>
      <c r="D50" s="58"/>
      <c r="E50" s="58"/>
      <c r="F50" s="58"/>
    </row>
    <row r="51">
      <c r="A51" s="57" t="s">
        <v>321</v>
      </c>
      <c r="B51" s="58"/>
      <c r="C51" s="58"/>
      <c r="D51" s="58"/>
      <c r="E51" s="58"/>
      <c r="F51" s="58"/>
    </row>
    <row r="52">
      <c r="A52" s="98" t="s">
        <v>15</v>
      </c>
      <c r="B52" s="157"/>
      <c r="C52" s="99" t="s">
        <v>16</v>
      </c>
      <c r="D52" s="58"/>
      <c r="E52" s="325" t="s">
        <v>63</v>
      </c>
      <c r="F52" s="325" t="s">
        <v>64</v>
      </c>
    </row>
    <row r="53">
      <c r="A53" s="58" t="s">
        <v>322</v>
      </c>
      <c r="B53" s="58"/>
      <c r="C53" s="327">
        <v>0.025</v>
      </c>
      <c r="D53" s="58"/>
      <c r="E53" s="50" t="b">
        <v>0</v>
      </c>
      <c r="F53" s="50" t="b">
        <v>0</v>
      </c>
      <c r="G53" s="164"/>
    </row>
    <row r="54">
      <c r="A54" s="58" t="s">
        <v>323</v>
      </c>
      <c r="B54" s="58"/>
      <c r="C54" s="327">
        <v>1.0</v>
      </c>
      <c r="D54" s="58"/>
      <c r="E54" s="50" t="b">
        <v>0</v>
      </c>
      <c r="F54" s="50" t="b">
        <v>0</v>
      </c>
      <c r="G54" s="164"/>
    </row>
    <row r="55">
      <c r="A55" s="58" t="s">
        <v>324</v>
      </c>
      <c r="B55" s="58"/>
      <c r="C55" s="327">
        <v>0.005</v>
      </c>
      <c r="D55" s="58"/>
      <c r="E55" s="50" t="b">
        <v>0</v>
      </c>
      <c r="F55" s="50" t="b">
        <v>0</v>
      </c>
      <c r="G55" s="164"/>
    </row>
    <row r="56">
      <c r="A56" s="58" t="s">
        <v>271</v>
      </c>
      <c r="B56" s="58"/>
      <c r="C56" s="327">
        <v>0.05</v>
      </c>
      <c r="D56" s="58"/>
      <c r="E56" s="58"/>
      <c r="F56" s="58"/>
      <c r="G56" s="328"/>
    </row>
    <row r="57">
      <c r="A57" s="57" t="s">
        <v>158</v>
      </c>
      <c r="B57" s="58"/>
      <c r="C57" s="326">
        <v>0.5</v>
      </c>
      <c r="D57" s="58"/>
      <c r="E57" s="58"/>
      <c r="F57" s="58"/>
      <c r="G57" s="329"/>
    </row>
    <row r="58">
      <c r="A58" s="57" t="s">
        <v>325</v>
      </c>
      <c r="B58" s="58"/>
      <c r="C58" s="58"/>
      <c r="D58" s="58"/>
      <c r="E58" s="58"/>
      <c r="F58" s="58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330" t="s">
        <v>326</v>
      </c>
      <c r="B62" s="308"/>
      <c r="C62" s="308"/>
      <c r="D62" s="308"/>
      <c r="E62" s="308"/>
      <c r="F62" s="308"/>
    </row>
    <row r="63">
      <c r="A63" s="304" t="s">
        <v>15</v>
      </c>
      <c r="B63" s="331"/>
      <c r="C63" s="332"/>
      <c r="D63" s="308"/>
      <c r="E63" s="333" t="s">
        <v>327</v>
      </c>
      <c r="F63" s="308"/>
    </row>
    <row r="64">
      <c r="A64" s="334" t="s">
        <v>328</v>
      </c>
      <c r="B64" s="335"/>
      <c r="C64" s="334" t="s">
        <v>296</v>
      </c>
      <c r="D64" s="308"/>
      <c r="E64" s="50" t="b">
        <v>0</v>
      </c>
      <c r="F64" s="308"/>
    </row>
    <row r="65">
      <c r="A65" s="308" t="s">
        <v>295</v>
      </c>
      <c r="B65" s="336"/>
      <c r="C65" s="334" t="s">
        <v>296</v>
      </c>
      <c r="D65" s="308"/>
      <c r="E65" s="50" t="b">
        <v>0</v>
      </c>
      <c r="F65" s="308"/>
    </row>
    <row r="66">
      <c r="A66" s="308"/>
      <c r="B66" s="308"/>
      <c r="C66" s="310"/>
      <c r="D66" s="308"/>
      <c r="E66" s="337"/>
      <c r="F66" s="308"/>
    </row>
    <row r="67">
      <c r="A67" s="233" t="s">
        <v>329</v>
      </c>
      <c r="B67" s="82"/>
      <c r="C67" s="82"/>
      <c r="D67" s="82"/>
      <c r="E67" s="82"/>
      <c r="F67" s="82"/>
    </row>
    <row r="68">
      <c r="A68" s="256" t="s">
        <v>330</v>
      </c>
      <c r="B68" s="82"/>
      <c r="C68" s="234"/>
      <c r="D68" s="82"/>
      <c r="E68" s="82"/>
      <c r="F68" s="82"/>
    </row>
    <row r="69">
      <c r="A69" s="82"/>
      <c r="B69" s="82"/>
      <c r="C69" s="82"/>
      <c r="D69" s="82"/>
      <c r="E69" s="82"/>
      <c r="F69" s="82"/>
    </row>
    <row r="70">
      <c r="A70" s="82"/>
      <c r="B70" s="82"/>
      <c r="C70" s="82"/>
      <c r="D70" s="82"/>
      <c r="E70" s="82"/>
      <c r="F70" s="82"/>
    </row>
    <row r="71">
      <c r="A71" s="264" t="s">
        <v>331</v>
      </c>
      <c r="B71" s="82"/>
      <c r="C71" s="82"/>
      <c r="D71" s="82"/>
      <c r="E71" s="82"/>
      <c r="F71" s="8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316" t="s">
        <v>332</v>
      </c>
    </row>
    <row r="76">
      <c r="A76" s="95" t="s">
        <v>305</v>
      </c>
      <c r="B76" s="58"/>
      <c r="C76" s="58"/>
      <c r="D76" s="58"/>
      <c r="E76" s="58"/>
      <c r="F76" s="58"/>
    </row>
    <row r="77">
      <c r="A77" s="112" t="s">
        <v>333</v>
      </c>
    </row>
  </sheetData>
  <mergeCells count="31">
    <mergeCell ref="A1:F1"/>
    <mergeCell ref="B5:C5"/>
    <mergeCell ref="A6:A8"/>
    <mergeCell ref="B6:C6"/>
    <mergeCell ref="D6:D8"/>
    <mergeCell ref="E6:E8"/>
    <mergeCell ref="F6:F8"/>
    <mergeCell ref="B7:C7"/>
    <mergeCell ref="B8:C8"/>
    <mergeCell ref="A9:A11"/>
    <mergeCell ref="B9:C9"/>
    <mergeCell ref="D9:D11"/>
    <mergeCell ref="E9:E11"/>
    <mergeCell ref="F9:F11"/>
    <mergeCell ref="A12:A13"/>
    <mergeCell ref="A14:A16"/>
    <mergeCell ref="D12:D13"/>
    <mergeCell ref="D14:D16"/>
    <mergeCell ref="E14:E16"/>
    <mergeCell ref="F14:F16"/>
    <mergeCell ref="B15:C15"/>
    <mergeCell ref="B16:C16"/>
    <mergeCell ref="A74:F75"/>
    <mergeCell ref="A77:F77"/>
    <mergeCell ref="B10:C10"/>
    <mergeCell ref="B11:C11"/>
    <mergeCell ref="B12:C12"/>
    <mergeCell ref="E12:E13"/>
    <mergeCell ref="F12:F13"/>
    <mergeCell ref="B13:C13"/>
    <mergeCell ref="B14:C1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15"/>
      <c r="C1" s="2"/>
      <c r="D1" s="2"/>
      <c r="E1" s="2"/>
      <c r="F1" s="2"/>
      <c r="G1" s="2"/>
      <c r="H1" s="2"/>
      <c r="I1" s="2"/>
      <c r="J1" s="2"/>
      <c r="O1" s="338"/>
    </row>
    <row r="2">
      <c r="A2" s="339" t="s">
        <v>86</v>
      </c>
      <c r="B2" s="340" t="s">
        <v>334</v>
      </c>
      <c r="C2" s="115"/>
      <c r="D2" s="2"/>
      <c r="E2" s="341" t="s">
        <v>335</v>
      </c>
      <c r="F2" s="2"/>
      <c r="G2" s="2"/>
      <c r="H2" s="2"/>
      <c r="I2" s="2"/>
      <c r="J2" s="2"/>
      <c r="O2" s="338"/>
    </row>
    <row r="3">
      <c r="A3" s="342" t="s">
        <v>336</v>
      </c>
      <c r="B3" s="343">
        <v>1550.0</v>
      </c>
      <c r="C3" s="344">
        <v>1300.0</v>
      </c>
      <c r="D3" s="344">
        <v>1.0</v>
      </c>
      <c r="E3" s="345" t="s">
        <v>337</v>
      </c>
      <c r="F3" s="2"/>
      <c r="G3" s="58"/>
      <c r="H3" s="2"/>
      <c r="I3" s="2"/>
      <c r="J3" s="2"/>
      <c r="O3" s="338"/>
    </row>
    <row r="4">
      <c r="A4" s="342" t="s">
        <v>338</v>
      </c>
      <c r="B4" s="343">
        <v>270.0</v>
      </c>
      <c r="C4" s="344">
        <v>250.0</v>
      </c>
      <c r="D4" s="344">
        <v>2.0</v>
      </c>
      <c r="E4" s="345" t="s">
        <v>339</v>
      </c>
      <c r="F4" s="2"/>
      <c r="G4" s="2"/>
      <c r="H4" s="2"/>
      <c r="I4" s="2"/>
      <c r="J4" s="2"/>
      <c r="L4" s="342"/>
      <c r="Q4" s="346"/>
      <c r="S4" s="346">
        <v>1300.0</v>
      </c>
      <c r="T4" s="114">
        <v>1.3</v>
      </c>
      <c r="U4" s="347">
        <f t="shared" ref="U4:U13" si="1">T4/5</f>
        <v>0.26</v>
      </c>
    </row>
    <row r="5">
      <c r="A5" s="342" t="s">
        <v>340</v>
      </c>
      <c r="B5" s="343">
        <v>12.0</v>
      </c>
      <c r="C5" s="344">
        <v>10.0</v>
      </c>
      <c r="D5" s="344">
        <v>3.0</v>
      </c>
      <c r="E5" s="345" t="s">
        <v>341</v>
      </c>
      <c r="F5" s="2"/>
      <c r="G5" s="2"/>
      <c r="H5" s="2"/>
      <c r="I5" s="2"/>
      <c r="J5" s="2"/>
      <c r="L5" s="342"/>
      <c r="Q5" s="346"/>
      <c r="S5" s="346">
        <v>250.0</v>
      </c>
      <c r="T5" s="114">
        <v>0.25</v>
      </c>
      <c r="U5" s="347">
        <f t="shared" si="1"/>
        <v>0.05</v>
      </c>
    </row>
    <row r="6">
      <c r="A6" s="342" t="s">
        <v>271</v>
      </c>
      <c r="B6" s="343">
        <v>12.0</v>
      </c>
      <c r="C6" s="344">
        <v>10.0</v>
      </c>
      <c r="D6" s="344">
        <v>4.0</v>
      </c>
      <c r="E6" s="345" t="s">
        <v>342</v>
      </c>
      <c r="F6" s="2"/>
      <c r="G6" s="2"/>
      <c r="H6" s="2"/>
      <c r="I6" s="2"/>
      <c r="J6" s="2"/>
      <c r="L6" s="342"/>
      <c r="Q6" s="346"/>
      <c r="S6" s="346">
        <v>10.0</v>
      </c>
      <c r="T6" s="114">
        <v>0.01</v>
      </c>
      <c r="U6" s="347">
        <f t="shared" si="1"/>
        <v>0.002</v>
      </c>
    </row>
    <row r="7">
      <c r="A7" s="342" t="s">
        <v>343</v>
      </c>
      <c r="B7" s="343">
        <v>54.0</v>
      </c>
      <c r="C7" s="344">
        <v>40.0</v>
      </c>
      <c r="D7" s="344">
        <v>5.0</v>
      </c>
      <c r="E7" s="345" t="s">
        <v>344</v>
      </c>
      <c r="F7" s="2"/>
      <c r="G7" s="2"/>
      <c r="H7" s="2"/>
      <c r="I7" s="2"/>
      <c r="J7" s="2"/>
      <c r="L7" s="342"/>
      <c r="Q7" s="346"/>
      <c r="S7" s="346">
        <v>10.0</v>
      </c>
      <c r="T7" s="114">
        <v>0.01</v>
      </c>
      <c r="U7" s="347">
        <f t="shared" si="1"/>
        <v>0.002</v>
      </c>
    </row>
    <row r="8">
      <c r="A8" s="342" t="s">
        <v>91</v>
      </c>
      <c r="B8" s="343">
        <v>33.0</v>
      </c>
      <c r="C8" s="344">
        <v>25.0</v>
      </c>
      <c r="D8" s="344">
        <v>6.0</v>
      </c>
      <c r="E8" s="348" t="s">
        <v>345</v>
      </c>
      <c r="F8" s="2"/>
      <c r="G8" s="2"/>
      <c r="H8" s="2"/>
      <c r="I8" s="2"/>
      <c r="J8" s="2"/>
      <c r="L8" s="342"/>
      <c r="Q8" s="346"/>
      <c r="S8" s="346">
        <v>40.0</v>
      </c>
      <c r="T8" s="114">
        <v>0.04</v>
      </c>
      <c r="U8" s="347">
        <f t="shared" si="1"/>
        <v>0.008</v>
      </c>
    </row>
    <row r="9">
      <c r="A9" s="342" t="s">
        <v>117</v>
      </c>
      <c r="B9" s="343">
        <v>12.0</v>
      </c>
      <c r="C9" s="344">
        <v>10.0</v>
      </c>
      <c r="D9" s="344">
        <v>7.0</v>
      </c>
      <c r="E9" s="349" t="s">
        <v>346</v>
      </c>
      <c r="L9" s="342"/>
      <c r="Q9" s="346"/>
      <c r="S9" s="346">
        <v>25.0</v>
      </c>
      <c r="T9" s="114">
        <v>0.025</v>
      </c>
      <c r="U9" s="347">
        <f t="shared" si="1"/>
        <v>0.005</v>
      </c>
    </row>
    <row r="10">
      <c r="A10" s="342" t="s">
        <v>158</v>
      </c>
      <c r="B10" s="343">
        <v>27.0</v>
      </c>
      <c r="C10" s="344">
        <v>25.0</v>
      </c>
      <c r="D10" s="2"/>
      <c r="E10" s="2"/>
      <c r="F10" s="2"/>
      <c r="G10" s="2"/>
      <c r="H10" s="2"/>
      <c r="I10" s="2"/>
      <c r="J10" s="2"/>
      <c r="L10" s="342"/>
      <c r="Q10" s="346"/>
      <c r="S10" s="346">
        <v>10.0</v>
      </c>
      <c r="T10" s="114">
        <v>0.01</v>
      </c>
      <c r="U10" s="347">
        <f t="shared" si="1"/>
        <v>0.002</v>
      </c>
    </row>
    <row r="11">
      <c r="A11" s="342" t="s">
        <v>347</v>
      </c>
      <c r="B11" s="343">
        <v>35.0</v>
      </c>
      <c r="C11" s="344">
        <v>30.0</v>
      </c>
      <c r="D11" s="344">
        <v>8.0</v>
      </c>
      <c r="E11" s="345" t="s">
        <v>348</v>
      </c>
      <c r="F11" s="2"/>
      <c r="G11" s="2"/>
      <c r="H11" s="2"/>
      <c r="I11" s="2"/>
      <c r="J11" s="2"/>
      <c r="L11" s="342"/>
      <c r="Q11" s="346"/>
      <c r="S11" s="346">
        <v>25.0</v>
      </c>
      <c r="T11" s="114">
        <v>0.025</v>
      </c>
      <c r="U11" s="347">
        <f t="shared" si="1"/>
        <v>0.005</v>
      </c>
    </row>
    <row r="12">
      <c r="A12" s="115"/>
      <c r="B12" s="115"/>
      <c r="C12" s="2"/>
      <c r="D12" s="344">
        <v>9.0</v>
      </c>
      <c r="E12" s="349" t="s">
        <v>349</v>
      </c>
      <c r="L12" s="342"/>
      <c r="Q12" s="346"/>
      <c r="S12" s="346">
        <v>30.0</v>
      </c>
      <c r="T12" s="114">
        <v>0.03</v>
      </c>
      <c r="U12" s="347">
        <f t="shared" si="1"/>
        <v>0.006</v>
      </c>
    </row>
    <row r="13">
      <c r="A13" s="350"/>
      <c r="B13" s="351"/>
      <c r="C13" s="2"/>
      <c r="D13" s="2"/>
      <c r="E13" s="2"/>
      <c r="F13" s="2"/>
      <c r="G13" s="2"/>
      <c r="H13" s="2"/>
      <c r="I13" s="2"/>
      <c r="J13" s="2"/>
      <c r="L13" s="116"/>
      <c r="Q13" s="2"/>
      <c r="S13" s="352">
        <v>10.0</v>
      </c>
      <c r="T13" s="114">
        <v>0.01</v>
      </c>
      <c r="U13" s="347">
        <f t="shared" si="1"/>
        <v>0.002</v>
      </c>
    </row>
    <row r="14">
      <c r="A14" s="353" t="s">
        <v>65</v>
      </c>
      <c r="B14" s="354">
        <v>1500.0</v>
      </c>
      <c r="C14" s="344">
        <v>1250.0</v>
      </c>
      <c r="D14" s="344">
        <v>10.0</v>
      </c>
      <c r="E14" s="345" t="s">
        <v>350</v>
      </c>
      <c r="F14" s="2"/>
      <c r="G14" s="2"/>
      <c r="H14" s="2"/>
      <c r="I14" s="2"/>
      <c r="J14" s="2"/>
      <c r="L14" s="350"/>
      <c r="Q14" s="2"/>
      <c r="S14" s="355"/>
    </row>
    <row r="15">
      <c r="A15" s="353" t="s">
        <v>351</v>
      </c>
      <c r="B15" s="354">
        <v>700.0</v>
      </c>
      <c r="C15" s="344">
        <v>600.0</v>
      </c>
      <c r="D15" s="344">
        <v>11.0</v>
      </c>
      <c r="E15" s="345" t="s">
        <v>352</v>
      </c>
      <c r="F15" s="2"/>
      <c r="G15" s="2"/>
      <c r="H15" s="2"/>
      <c r="I15" s="2"/>
      <c r="J15" s="2"/>
      <c r="L15" s="353"/>
      <c r="Q15" s="344"/>
      <c r="S15" s="346">
        <v>1250.0</v>
      </c>
      <c r="T15" s="114">
        <v>1.25</v>
      </c>
      <c r="U15" s="347">
        <f t="shared" ref="U15:U21" si="2">T15/5</f>
        <v>0.25</v>
      </c>
    </row>
    <row r="16">
      <c r="A16" s="350"/>
      <c r="B16" s="351"/>
      <c r="C16" s="2"/>
      <c r="D16" s="2"/>
      <c r="E16" s="2"/>
      <c r="F16" s="2"/>
      <c r="G16" s="2"/>
      <c r="H16" s="2"/>
      <c r="I16" s="2"/>
      <c r="J16" s="2"/>
      <c r="L16" s="353"/>
      <c r="Q16" s="344"/>
      <c r="S16" s="346">
        <v>600.0</v>
      </c>
      <c r="T16" s="114">
        <v>0.6</v>
      </c>
      <c r="U16" s="347">
        <f t="shared" si="2"/>
        <v>0.12</v>
      </c>
    </row>
    <row r="17">
      <c r="A17" s="356" t="s">
        <v>353</v>
      </c>
      <c r="B17" s="354">
        <v>550.0</v>
      </c>
      <c r="C17" s="344">
        <v>450.0</v>
      </c>
      <c r="D17" s="2"/>
      <c r="E17" s="341" t="s">
        <v>354</v>
      </c>
      <c r="F17" s="2"/>
      <c r="G17" s="2"/>
      <c r="H17" s="2"/>
      <c r="I17" s="2"/>
      <c r="J17" s="2"/>
      <c r="L17" s="350"/>
      <c r="Q17" s="2"/>
      <c r="S17" s="355"/>
      <c r="U17" s="347">
        <f t="shared" si="2"/>
        <v>0</v>
      </c>
    </row>
    <row r="18">
      <c r="A18" s="356" t="s">
        <v>355</v>
      </c>
      <c r="B18" s="354">
        <v>600.0</v>
      </c>
      <c r="C18" s="344">
        <v>500.0</v>
      </c>
      <c r="D18" s="2"/>
      <c r="E18" s="357" t="s">
        <v>356</v>
      </c>
      <c r="F18" s="358">
        <v>500.0</v>
      </c>
      <c r="G18" s="2"/>
      <c r="H18" s="51" t="s">
        <v>357</v>
      </c>
      <c r="I18" s="2"/>
      <c r="J18" s="2"/>
      <c r="L18" s="356"/>
      <c r="Q18" s="344"/>
      <c r="S18" s="346">
        <v>450.0</v>
      </c>
      <c r="T18" s="114">
        <v>0.45</v>
      </c>
      <c r="U18" s="347">
        <f t="shared" si="2"/>
        <v>0.09</v>
      </c>
    </row>
    <row r="19">
      <c r="A19" s="356" t="s">
        <v>358</v>
      </c>
      <c r="B19" s="354">
        <v>300.0</v>
      </c>
      <c r="C19" s="344">
        <v>250.0</v>
      </c>
      <c r="D19" s="2"/>
      <c r="E19" s="357" t="s">
        <v>359</v>
      </c>
      <c r="F19" s="358">
        <v>500.0</v>
      </c>
      <c r="G19" s="2"/>
      <c r="H19" s="2"/>
      <c r="I19" s="2"/>
      <c r="J19" s="2"/>
      <c r="L19" s="356"/>
      <c r="Q19" s="344"/>
      <c r="S19" s="346">
        <v>500.0</v>
      </c>
      <c r="T19" s="114">
        <v>0.5</v>
      </c>
      <c r="U19" s="347">
        <f t="shared" si="2"/>
        <v>0.1</v>
      </c>
    </row>
    <row r="20">
      <c r="A20" s="356" t="s">
        <v>360</v>
      </c>
      <c r="B20" s="354">
        <v>300.0</v>
      </c>
      <c r="C20" s="344">
        <v>250.0</v>
      </c>
      <c r="D20" s="2"/>
      <c r="E20" s="357" t="s">
        <v>361</v>
      </c>
      <c r="F20" s="358">
        <v>700.0</v>
      </c>
      <c r="G20" s="2"/>
      <c r="H20" s="2"/>
      <c r="I20" s="2"/>
      <c r="J20" s="2"/>
      <c r="L20" s="356"/>
      <c r="Q20" s="344"/>
      <c r="S20" s="346">
        <v>250.0</v>
      </c>
      <c r="T20" s="114">
        <v>0.25</v>
      </c>
      <c r="U20" s="347">
        <f t="shared" si="2"/>
        <v>0.05</v>
      </c>
    </row>
    <row r="21">
      <c r="A21" s="2"/>
      <c r="B21" s="2"/>
      <c r="C21" s="2"/>
      <c r="D21" s="2"/>
      <c r="E21" s="357" t="s">
        <v>362</v>
      </c>
      <c r="F21" s="358">
        <v>700.0</v>
      </c>
      <c r="G21" s="2"/>
      <c r="H21" s="2"/>
      <c r="I21" s="2"/>
      <c r="J21" s="2"/>
      <c r="L21" s="356"/>
      <c r="Q21" s="344"/>
      <c r="S21" s="346">
        <v>250.0</v>
      </c>
      <c r="T21" s="114">
        <v>0.25</v>
      </c>
      <c r="U21" s="347">
        <f t="shared" si="2"/>
        <v>0.05</v>
      </c>
    </row>
    <row r="22">
      <c r="A22" s="2"/>
      <c r="B22" s="2"/>
      <c r="C22" s="2"/>
      <c r="D22" s="2"/>
      <c r="E22" s="2"/>
      <c r="F22" s="359">
        <f>SUM(F18:F21)</f>
        <v>2400</v>
      </c>
      <c r="G22" s="2"/>
      <c r="H22" s="2"/>
      <c r="I22" s="2"/>
      <c r="J22" s="2"/>
      <c r="O22" s="338"/>
    </row>
    <row r="23">
      <c r="O23" s="338"/>
      <c r="P23" s="347">
        <f>sum(T4:T21)</f>
        <v>5.01</v>
      </c>
    </row>
    <row r="24">
      <c r="O24" s="338"/>
    </row>
    <row r="25">
      <c r="O25" s="338"/>
    </row>
    <row r="26">
      <c r="O26" s="338"/>
    </row>
    <row r="27">
      <c r="O27" s="338"/>
    </row>
    <row r="28">
      <c r="O28" s="338"/>
    </row>
    <row r="29">
      <c r="O29" s="338"/>
    </row>
    <row r="30">
      <c r="O30" s="338"/>
    </row>
    <row r="31">
      <c r="O31" s="338"/>
    </row>
    <row r="32">
      <c r="O32" s="338"/>
    </row>
    <row r="33">
      <c r="O33" s="338"/>
    </row>
    <row r="34">
      <c r="O34" s="338"/>
    </row>
    <row r="35">
      <c r="O35" s="338"/>
    </row>
    <row r="36">
      <c r="O36" s="338"/>
    </row>
    <row r="37">
      <c r="O37" s="338"/>
    </row>
    <row r="38">
      <c r="O38" s="338"/>
    </row>
    <row r="39">
      <c r="O39" s="338"/>
    </row>
    <row r="40">
      <c r="O40" s="338"/>
    </row>
    <row r="41">
      <c r="O41" s="338"/>
    </row>
    <row r="42">
      <c r="O42" s="338"/>
    </row>
    <row r="43">
      <c r="O43" s="338"/>
    </row>
    <row r="44">
      <c r="O44" s="338"/>
    </row>
    <row r="45">
      <c r="O45" s="338"/>
    </row>
    <row r="46">
      <c r="O46" s="338"/>
    </row>
    <row r="47">
      <c r="O47" s="338"/>
    </row>
    <row r="48">
      <c r="O48" s="338"/>
    </row>
    <row r="49">
      <c r="O49" s="338"/>
    </row>
    <row r="50">
      <c r="O50" s="338"/>
    </row>
    <row r="51">
      <c r="O51" s="338"/>
    </row>
    <row r="52">
      <c r="O52" s="338"/>
    </row>
    <row r="53">
      <c r="O53" s="338"/>
    </row>
    <row r="54">
      <c r="O54" s="338"/>
    </row>
    <row r="55">
      <c r="O55" s="338"/>
    </row>
    <row r="56">
      <c r="O56" s="338"/>
    </row>
    <row r="57">
      <c r="O57" s="338"/>
    </row>
    <row r="58">
      <c r="O58" s="338"/>
    </row>
    <row r="59">
      <c r="O59" s="338"/>
    </row>
    <row r="60">
      <c r="O60" s="338"/>
    </row>
    <row r="61">
      <c r="O61" s="338"/>
    </row>
    <row r="62">
      <c r="O62" s="338"/>
    </row>
    <row r="63">
      <c r="O63" s="338"/>
    </row>
    <row r="64">
      <c r="O64" s="338"/>
    </row>
    <row r="65">
      <c r="O65" s="338"/>
    </row>
    <row r="66">
      <c r="O66" s="338"/>
    </row>
    <row r="67">
      <c r="O67" s="338"/>
    </row>
    <row r="68">
      <c r="O68" s="338"/>
    </row>
    <row r="69">
      <c r="O69" s="338"/>
    </row>
    <row r="70">
      <c r="O70" s="338"/>
    </row>
    <row r="71">
      <c r="O71" s="338"/>
    </row>
    <row r="72">
      <c r="O72" s="338"/>
    </row>
    <row r="73">
      <c r="O73" s="338"/>
    </row>
    <row r="74">
      <c r="O74" s="338"/>
    </row>
    <row r="75">
      <c r="O75" s="338"/>
    </row>
    <row r="76">
      <c r="O76" s="338"/>
    </row>
    <row r="77">
      <c r="O77" s="338"/>
    </row>
    <row r="78">
      <c r="O78" s="338"/>
    </row>
    <row r="79">
      <c r="O79" s="338"/>
    </row>
    <row r="80">
      <c r="O80" s="338"/>
    </row>
    <row r="81">
      <c r="O81" s="338"/>
    </row>
    <row r="82">
      <c r="O82" s="338"/>
    </row>
    <row r="83">
      <c r="O83" s="338"/>
    </row>
    <row r="84">
      <c r="O84" s="338"/>
    </row>
    <row r="85">
      <c r="O85" s="338"/>
    </row>
    <row r="86">
      <c r="O86" s="338"/>
    </row>
    <row r="87">
      <c r="O87" s="338"/>
    </row>
    <row r="88">
      <c r="O88" s="338"/>
    </row>
    <row r="89">
      <c r="O89" s="338"/>
    </row>
    <row r="90">
      <c r="O90" s="338"/>
    </row>
    <row r="91">
      <c r="O91" s="338"/>
    </row>
    <row r="92">
      <c r="O92" s="338"/>
    </row>
    <row r="93">
      <c r="O93" s="338"/>
    </row>
    <row r="94">
      <c r="O94" s="338"/>
    </row>
    <row r="95">
      <c r="O95" s="338"/>
    </row>
    <row r="96">
      <c r="O96" s="338"/>
    </row>
    <row r="97">
      <c r="O97" s="338"/>
    </row>
    <row r="98">
      <c r="O98" s="338"/>
    </row>
    <row r="99">
      <c r="O99" s="338"/>
    </row>
    <row r="100">
      <c r="O100" s="338"/>
    </row>
    <row r="101">
      <c r="O101" s="338"/>
    </row>
    <row r="102">
      <c r="O102" s="338"/>
    </row>
    <row r="103">
      <c r="O103" s="338"/>
    </row>
    <row r="104">
      <c r="O104" s="338"/>
    </row>
    <row r="105">
      <c r="O105" s="338"/>
    </row>
    <row r="106">
      <c r="O106" s="338"/>
    </row>
    <row r="107">
      <c r="O107" s="338"/>
    </row>
    <row r="108">
      <c r="O108" s="338"/>
    </row>
    <row r="109">
      <c r="O109" s="338"/>
    </row>
    <row r="110">
      <c r="O110" s="338"/>
    </row>
    <row r="111">
      <c r="O111" s="338"/>
    </row>
    <row r="112">
      <c r="O112" s="338"/>
    </row>
    <row r="113">
      <c r="O113" s="338"/>
    </row>
    <row r="114">
      <c r="O114" s="338"/>
    </row>
    <row r="115">
      <c r="O115" s="338"/>
    </row>
    <row r="116">
      <c r="O116" s="338"/>
    </row>
    <row r="117">
      <c r="O117" s="338"/>
    </row>
    <row r="118">
      <c r="O118" s="338"/>
    </row>
    <row r="119">
      <c r="O119" s="338"/>
    </row>
    <row r="120">
      <c r="O120" s="338"/>
    </row>
    <row r="121">
      <c r="O121" s="338"/>
    </row>
    <row r="122">
      <c r="O122" s="338"/>
    </row>
    <row r="123">
      <c r="O123" s="338"/>
    </row>
    <row r="124">
      <c r="O124" s="338"/>
    </row>
    <row r="125">
      <c r="O125" s="338"/>
    </row>
    <row r="126">
      <c r="O126" s="338"/>
    </row>
    <row r="127">
      <c r="O127" s="338"/>
    </row>
    <row r="128">
      <c r="O128" s="338"/>
    </row>
    <row r="129">
      <c r="O129" s="338"/>
    </row>
    <row r="130">
      <c r="O130" s="338"/>
    </row>
    <row r="131">
      <c r="O131" s="338"/>
    </row>
    <row r="132">
      <c r="O132" s="338"/>
    </row>
    <row r="133">
      <c r="O133" s="338"/>
    </row>
    <row r="134">
      <c r="O134" s="338"/>
    </row>
    <row r="135">
      <c r="O135" s="338"/>
    </row>
    <row r="136">
      <c r="O136" s="338"/>
    </row>
    <row r="137">
      <c r="O137" s="338"/>
    </row>
    <row r="138">
      <c r="O138" s="338"/>
    </row>
    <row r="139">
      <c r="O139" s="338"/>
    </row>
    <row r="140">
      <c r="O140" s="338"/>
    </row>
    <row r="141">
      <c r="O141" s="338"/>
    </row>
    <row r="142">
      <c r="O142" s="338"/>
    </row>
    <row r="143">
      <c r="O143" s="338"/>
    </row>
    <row r="144">
      <c r="O144" s="338"/>
    </row>
    <row r="145">
      <c r="O145" s="338"/>
    </row>
    <row r="146">
      <c r="O146" s="338"/>
    </row>
    <row r="147">
      <c r="O147" s="338"/>
    </row>
    <row r="148">
      <c r="O148" s="338"/>
    </row>
    <row r="149">
      <c r="O149" s="338"/>
    </row>
    <row r="150">
      <c r="O150" s="338"/>
    </row>
    <row r="151">
      <c r="O151" s="338"/>
    </row>
    <row r="152">
      <c r="O152" s="338"/>
    </row>
    <row r="153">
      <c r="O153" s="338"/>
    </row>
    <row r="154">
      <c r="O154" s="338"/>
    </row>
    <row r="155">
      <c r="O155" s="338"/>
    </row>
    <row r="156">
      <c r="O156" s="338"/>
    </row>
    <row r="157">
      <c r="O157" s="338"/>
    </row>
    <row r="158">
      <c r="O158" s="338"/>
    </row>
    <row r="159">
      <c r="O159" s="338"/>
    </row>
    <row r="160">
      <c r="O160" s="338"/>
    </row>
    <row r="161">
      <c r="O161" s="338"/>
    </row>
    <row r="162">
      <c r="O162" s="338"/>
    </row>
    <row r="163">
      <c r="O163" s="338"/>
    </row>
    <row r="164">
      <c r="O164" s="338"/>
    </row>
    <row r="165">
      <c r="O165" s="338"/>
    </row>
    <row r="166">
      <c r="O166" s="338"/>
    </row>
    <row r="167">
      <c r="O167" s="338"/>
    </row>
    <row r="168">
      <c r="O168" s="338"/>
    </row>
    <row r="169">
      <c r="O169" s="338"/>
    </row>
    <row r="170">
      <c r="O170" s="338"/>
    </row>
    <row r="171">
      <c r="O171" s="338"/>
    </row>
    <row r="172">
      <c r="O172" s="338"/>
    </row>
    <row r="173">
      <c r="O173" s="338"/>
    </row>
    <row r="174">
      <c r="O174" s="338"/>
    </row>
    <row r="175">
      <c r="O175" s="338"/>
    </row>
    <row r="176">
      <c r="O176" s="338"/>
    </row>
    <row r="177">
      <c r="O177" s="338"/>
    </row>
    <row r="178">
      <c r="O178" s="338"/>
    </row>
    <row r="179">
      <c r="O179" s="338"/>
    </row>
    <row r="180">
      <c r="O180" s="338"/>
    </row>
    <row r="181">
      <c r="O181" s="338"/>
    </row>
    <row r="182">
      <c r="O182" s="338"/>
    </row>
    <row r="183">
      <c r="O183" s="338"/>
    </row>
    <row r="184">
      <c r="O184" s="338"/>
    </row>
    <row r="185">
      <c r="O185" s="338"/>
    </row>
    <row r="186">
      <c r="O186" s="338"/>
    </row>
    <row r="187">
      <c r="O187" s="338"/>
    </row>
    <row r="188">
      <c r="O188" s="338"/>
    </row>
    <row r="189">
      <c r="O189" s="338"/>
    </row>
    <row r="190">
      <c r="O190" s="338"/>
    </row>
    <row r="191">
      <c r="O191" s="338"/>
    </row>
    <row r="192">
      <c r="O192" s="338"/>
    </row>
    <row r="193">
      <c r="O193" s="338"/>
    </row>
    <row r="194">
      <c r="O194" s="338"/>
    </row>
    <row r="195">
      <c r="O195" s="338"/>
    </row>
    <row r="196">
      <c r="O196" s="338"/>
    </row>
    <row r="197">
      <c r="O197" s="338"/>
    </row>
    <row r="198">
      <c r="O198" s="338"/>
    </row>
    <row r="199">
      <c r="O199" s="338"/>
    </row>
    <row r="200">
      <c r="O200" s="338"/>
    </row>
    <row r="201">
      <c r="O201" s="338"/>
    </row>
    <row r="202">
      <c r="O202" s="338"/>
    </row>
    <row r="203">
      <c r="O203" s="338"/>
    </row>
    <row r="204">
      <c r="O204" s="338"/>
    </row>
    <row r="205">
      <c r="O205" s="338"/>
    </row>
    <row r="206">
      <c r="O206" s="338"/>
    </row>
    <row r="207">
      <c r="O207" s="338"/>
    </row>
    <row r="208">
      <c r="O208" s="338"/>
    </row>
    <row r="209">
      <c r="O209" s="338"/>
    </row>
    <row r="210">
      <c r="O210" s="338"/>
    </row>
    <row r="211">
      <c r="O211" s="338"/>
    </row>
    <row r="212">
      <c r="O212" s="338"/>
    </row>
    <row r="213">
      <c r="O213" s="338"/>
    </row>
    <row r="214">
      <c r="O214" s="338"/>
    </row>
    <row r="215">
      <c r="O215" s="338"/>
    </row>
    <row r="216">
      <c r="O216" s="338"/>
    </row>
    <row r="217">
      <c r="O217" s="338"/>
    </row>
    <row r="218">
      <c r="O218" s="338"/>
    </row>
    <row r="219">
      <c r="O219" s="338"/>
    </row>
    <row r="220">
      <c r="O220" s="338"/>
    </row>
    <row r="221">
      <c r="O221" s="338"/>
    </row>
    <row r="222">
      <c r="O222" s="338"/>
    </row>
    <row r="223">
      <c r="O223" s="338"/>
    </row>
    <row r="224">
      <c r="O224" s="338"/>
    </row>
    <row r="225">
      <c r="O225" s="338"/>
    </row>
    <row r="226">
      <c r="O226" s="338"/>
    </row>
    <row r="227">
      <c r="O227" s="338"/>
    </row>
    <row r="228">
      <c r="O228" s="338"/>
    </row>
    <row r="229">
      <c r="O229" s="338"/>
    </row>
    <row r="230">
      <c r="O230" s="338"/>
    </row>
    <row r="231">
      <c r="O231" s="338"/>
    </row>
    <row r="232">
      <c r="O232" s="338"/>
    </row>
    <row r="233">
      <c r="O233" s="338"/>
    </row>
    <row r="234">
      <c r="O234" s="338"/>
    </row>
    <row r="235">
      <c r="O235" s="338"/>
    </row>
    <row r="236">
      <c r="O236" s="338"/>
    </row>
    <row r="237">
      <c r="O237" s="338"/>
    </row>
    <row r="238">
      <c r="O238" s="338"/>
    </row>
    <row r="239">
      <c r="O239" s="338"/>
    </row>
    <row r="240">
      <c r="O240" s="338"/>
    </row>
    <row r="241">
      <c r="O241" s="338"/>
    </row>
    <row r="242">
      <c r="O242" s="338"/>
    </row>
    <row r="243">
      <c r="O243" s="338"/>
    </row>
    <row r="244">
      <c r="O244" s="338"/>
    </row>
    <row r="245">
      <c r="O245" s="338"/>
    </row>
    <row r="246">
      <c r="O246" s="338"/>
    </row>
    <row r="247">
      <c r="O247" s="338"/>
    </row>
    <row r="248">
      <c r="O248" s="338"/>
    </row>
    <row r="249">
      <c r="O249" s="338"/>
    </row>
    <row r="250">
      <c r="O250" s="338"/>
    </row>
    <row r="251">
      <c r="O251" s="338"/>
    </row>
    <row r="252">
      <c r="O252" s="338"/>
    </row>
    <row r="253">
      <c r="O253" s="338"/>
    </row>
    <row r="254">
      <c r="O254" s="338"/>
    </row>
    <row r="255">
      <c r="O255" s="338"/>
    </row>
    <row r="256">
      <c r="O256" s="338"/>
    </row>
    <row r="257">
      <c r="O257" s="338"/>
    </row>
    <row r="258">
      <c r="O258" s="338"/>
    </row>
    <row r="259">
      <c r="O259" s="338"/>
    </row>
    <row r="260">
      <c r="O260" s="338"/>
    </row>
    <row r="261">
      <c r="O261" s="338"/>
    </row>
    <row r="262">
      <c r="O262" s="338"/>
    </row>
    <row r="263">
      <c r="O263" s="338"/>
    </row>
    <row r="264">
      <c r="O264" s="338"/>
    </row>
    <row r="265">
      <c r="O265" s="338"/>
    </row>
    <row r="266">
      <c r="O266" s="338"/>
    </row>
    <row r="267">
      <c r="O267" s="338"/>
    </row>
    <row r="268">
      <c r="O268" s="338"/>
    </row>
    <row r="269">
      <c r="O269" s="338"/>
    </row>
    <row r="270">
      <c r="O270" s="338"/>
    </row>
    <row r="271">
      <c r="O271" s="338"/>
    </row>
    <row r="272">
      <c r="O272" s="338"/>
    </row>
    <row r="273">
      <c r="O273" s="338"/>
    </row>
    <row r="274">
      <c r="O274" s="338"/>
    </row>
    <row r="275">
      <c r="O275" s="338"/>
    </row>
    <row r="276">
      <c r="O276" s="338"/>
    </row>
    <row r="277">
      <c r="O277" s="338"/>
    </row>
    <row r="278">
      <c r="O278" s="338"/>
    </row>
    <row r="279">
      <c r="O279" s="338"/>
    </row>
    <row r="280">
      <c r="O280" s="338"/>
    </row>
    <row r="281">
      <c r="O281" s="338"/>
    </row>
    <row r="282">
      <c r="O282" s="338"/>
    </row>
    <row r="283">
      <c r="O283" s="338"/>
    </row>
    <row r="284">
      <c r="O284" s="338"/>
    </row>
    <row r="285">
      <c r="O285" s="338"/>
    </row>
    <row r="286">
      <c r="O286" s="338"/>
    </row>
    <row r="287">
      <c r="O287" s="338"/>
    </row>
    <row r="288">
      <c r="O288" s="338"/>
    </row>
    <row r="289">
      <c r="O289" s="338"/>
    </row>
    <row r="290">
      <c r="O290" s="338"/>
    </row>
    <row r="291">
      <c r="O291" s="338"/>
    </row>
    <row r="292">
      <c r="O292" s="338"/>
    </row>
    <row r="293">
      <c r="O293" s="338"/>
    </row>
    <row r="294">
      <c r="O294" s="338"/>
    </row>
    <row r="295">
      <c r="O295" s="338"/>
    </row>
    <row r="296">
      <c r="O296" s="338"/>
    </row>
    <row r="297">
      <c r="O297" s="338"/>
    </row>
    <row r="298">
      <c r="O298" s="338"/>
    </row>
    <row r="299">
      <c r="O299" s="338"/>
    </row>
    <row r="300">
      <c r="O300" s="338"/>
    </row>
    <row r="301">
      <c r="O301" s="338"/>
    </row>
    <row r="302">
      <c r="O302" s="338"/>
    </row>
    <row r="303">
      <c r="O303" s="338"/>
    </row>
    <row r="304">
      <c r="O304" s="338"/>
    </row>
    <row r="305">
      <c r="O305" s="338"/>
    </row>
    <row r="306">
      <c r="O306" s="338"/>
    </row>
    <row r="307">
      <c r="O307" s="338"/>
    </row>
    <row r="308">
      <c r="O308" s="338"/>
    </row>
    <row r="309">
      <c r="O309" s="338"/>
    </row>
    <row r="310">
      <c r="O310" s="338"/>
    </row>
    <row r="311">
      <c r="O311" s="338"/>
    </row>
    <row r="312">
      <c r="O312" s="338"/>
    </row>
    <row r="313">
      <c r="O313" s="338"/>
    </row>
    <row r="314">
      <c r="O314" s="338"/>
    </row>
    <row r="315">
      <c r="O315" s="338"/>
    </row>
    <row r="316">
      <c r="O316" s="338"/>
    </row>
    <row r="317">
      <c r="O317" s="338"/>
    </row>
    <row r="318">
      <c r="O318" s="338"/>
    </row>
    <row r="319">
      <c r="O319" s="338"/>
    </row>
    <row r="320">
      <c r="O320" s="338"/>
    </row>
    <row r="321">
      <c r="O321" s="338"/>
    </row>
    <row r="322">
      <c r="O322" s="338"/>
    </row>
    <row r="323">
      <c r="O323" s="338"/>
    </row>
    <row r="324">
      <c r="O324" s="338"/>
    </row>
    <row r="325">
      <c r="O325" s="338"/>
    </row>
    <row r="326">
      <c r="O326" s="338"/>
    </row>
    <row r="327">
      <c r="O327" s="338"/>
    </row>
    <row r="328">
      <c r="O328" s="338"/>
    </row>
    <row r="329">
      <c r="O329" s="338"/>
    </row>
    <row r="330">
      <c r="O330" s="338"/>
    </row>
    <row r="331">
      <c r="O331" s="338"/>
    </row>
    <row r="332">
      <c r="O332" s="338"/>
    </row>
    <row r="333">
      <c r="O333" s="338"/>
    </row>
    <row r="334">
      <c r="O334" s="338"/>
    </row>
    <row r="335">
      <c r="O335" s="338"/>
    </row>
    <row r="336">
      <c r="O336" s="338"/>
    </row>
    <row r="337">
      <c r="O337" s="338"/>
    </row>
    <row r="338">
      <c r="O338" s="338"/>
    </row>
    <row r="339">
      <c r="O339" s="338"/>
    </row>
    <row r="340">
      <c r="O340" s="338"/>
    </row>
    <row r="341">
      <c r="O341" s="338"/>
    </row>
    <row r="342">
      <c r="O342" s="338"/>
    </row>
    <row r="343">
      <c r="O343" s="338"/>
    </row>
    <row r="344">
      <c r="O344" s="338"/>
    </row>
    <row r="345">
      <c r="O345" s="338"/>
    </row>
    <row r="346">
      <c r="O346" s="338"/>
    </row>
    <row r="347">
      <c r="O347" s="338"/>
    </row>
    <row r="348">
      <c r="O348" s="338"/>
    </row>
    <row r="349">
      <c r="O349" s="338"/>
    </row>
    <row r="350">
      <c r="O350" s="338"/>
    </row>
    <row r="351">
      <c r="O351" s="338"/>
    </row>
    <row r="352">
      <c r="O352" s="338"/>
    </row>
    <row r="353">
      <c r="O353" s="338"/>
    </row>
    <row r="354">
      <c r="O354" s="338"/>
    </row>
    <row r="355">
      <c r="O355" s="338"/>
    </row>
    <row r="356">
      <c r="O356" s="338"/>
    </row>
    <row r="357">
      <c r="O357" s="338"/>
    </row>
    <row r="358">
      <c r="O358" s="338"/>
    </row>
    <row r="359">
      <c r="O359" s="338"/>
    </row>
    <row r="360">
      <c r="O360" s="338"/>
    </row>
    <row r="361">
      <c r="O361" s="338"/>
    </row>
    <row r="362">
      <c r="O362" s="338"/>
    </row>
    <row r="363">
      <c r="O363" s="338"/>
    </row>
    <row r="364">
      <c r="O364" s="338"/>
    </row>
    <row r="365">
      <c r="O365" s="338"/>
    </row>
    <row r="366">
      <c r="O366" s="338"/>
    </row>
    <row r="367">
      <c r="O367" s="338"/>
    </row>
    <row r="368">
      <c r="O368" s="338"/>
    </row>
    <row r="369">
      <c r="O369" s="338"/>
    </row>
    <row r="370">
      <c r="O370" s="338"/>
    </row>
    <row r="371">
      <c r="O371" s="338"/>
    </row>
    <row r="372">
      <c r="O372" s="338"/>
    </row>
    <row r="373">
      <c r="O373" s="338"/>
    </row>
    <row r="374">
      <c r="O374" s="338"/>
    </row>
    <row r="375">
      <c r="O375" s="338"/>
    </row>
    <row r="376">
      <c r="O376" s="338"/>
    </row>
    <row r="377">
      <c r="O377" s="338"/>
    </row>
    <row r="378">
      <c r="O378" s="338"/>
    </row>
    <row r="379">
      <c r="O379" s="338"/>
    </row>
    <row r="380">
      <c r="O380" s="338"/>
    </row>
    <row r="381">
      <c r="O381" s="338"/>
    </row>
    <row r="382">
      <c r="O382" s="338"/>
    </row>
    <row r="383">
      <c r="O383" s="338"/>
    </row>
    <row r="384">
      <c r="O384" s="338"/>
    </row>
    <row r="385">
      <c r="O385" s="338"/>
    </row>
    <row r="386">
      <c r="O386" s="338"/>
    </row>
    <row r="387">
      <c r="O387" s="338"/>
    </row>
    <row r="388">
      <c r="O388" s="338"/>
    </row>
    <row r="389">
      <c r="O389" s="338"/>
    </row>
    <row r="390">
      <c r="O390" s="338"/>
    </row>
    <row r="391">
      <c r="O391" s="338"/>
    </row>
    <row r="392">
      <c r="O392" s="338"/>
    </row>
    <row r="393">
      <c r="O393" s="338"/>
    </row>
    <row r="394">
      <c r="O394" s="338"/>
    </row>
    <row r="395">
      <c r="O395" s="338"/>
    </row>
    <row r="396">
      <c r="O396" s="338"/>
    </row>
    <row r="397">
      <c r="O397" s="338"/>
    </row>
    <row r="398">
      <c r="O398" s="338"/>
    </row>
    <row r="399">
      <c r="O399" s="338"/>
    </row>
    <row r="400">
      <c r="O400" s="338"/>
    </row>
    <row r="401">
      <c r="O401" s="338"/>
    </row>
    <row r="402">
      <c r="O402" s="338"/>
    </row>
    <row r="403">
      <c r="O403" s="338"/>
    </row>
    <row r="404">
      <c r="O404" s="338"/>
    </row>
    <row r="405">
      <c r="O405" s="338"/>
    </row>
    <row r="406">
      <c r="O406" s="338"/>
    </row>
    <row r="407">
      <c r="O407" s="338"/>
    </row>
    <row r="408">
      <c r="O408" s="338"/>
    </row>
    <row r="409">
      <c r="O409" s="338"/>
    </row>
    <row r="410">
      <c r="O410" s="338"/>
    </row>
    <row r="411">
      <c r="O411" s="338"/>
    </row>
    <row r="412">
      <c r="O412" s="338"/>
    </row>
    <row r="413">
      <c r="O413" s="338"/>
    </row>
    <row r="414">
      <c r="O414" s="338"/>
    </row>
    <row r="415">
      <c r="O415" s="338"/>
    </row>
    <row r="416">
      <c r="O416" s="338"/>
    </row>
    <row r="417">
      <c r="O417" s="338"/>
    </row>
    <row r="418">
      <c r="O418" s="338"/>
    </row>
    <row r="419">
      <c r="O419" s="338"/>
    </row>
    <row r="420">
      <c r="O420" s="338"/>
    </row>
    <row r="421">
      <c r="O421" s="338"/>
    </row>
    <row r="422">
      <c r="O422" s="338"/>
    </row>
    <row r="423">
      <c r="O423" s="338"/>
    </row>
    <row r="424">
      <c r="O424" s="338"/>
    </row>
    <row r="425">
      <c r="O425" s="338"/>
    </row>
    <row r="426">
      <c r="O426" s="338"/>
    </row>
    <row r="427">
      <c r="O427" s="338"/>
    </row>
    <row r="428">
      <c r="O428" s="338"/>
    </row>
    <row r="429">
      <c r="O429" s="338"/>
    </row>
    <row r="430">
      <c r="O430" s="338"/>
    </row>
    <row r="431">
      <c r="O431" s="338"/>
    </row>
    <row r="432">
      <c r="O432" s="338"/>
    </row>
    <row r="433">
      <c r="O433" s="338"/>
    </row>
    <row r="434">
      <c r="O434" s="338"/>
    </row>
    <row r="435">
      <c r="O435" s="338"/>
    </row>
    <row r="436">
      <c r="O436" s="338"/>
    </row>
    <row r="437">
      <c r="O437" s="338"/>
    </row>
    <row r="438">
      <c r="O438" s="338"/>
    </row>
    <row r="439">
      <c r="O439" s="338"/>
    </row>
    <row r="440">
      <c r="O440" s="338"/>
    </row>
    <row r="441">
      <c r="O441" s="338"/>
    </row>
    <row r="442">
      <c r="O442" s="338"/>
    </row>
    <row r="443">
      <c r="O443" s="338"/>
    </row>
    <row r="444">
      <c r="O444" s="338"/>
    </row>
    <row r="445">
      <c r="O445" s="338"/>
    </row>
    <row r="446">
      <c r="O446" s="338"/>
    </row>
    <row r="447">
      <c r="O447" s="338"/>
    </row>
    <row r="448">
      <c r="O448" s="338"/>
    </row>
    <row r="449">
      <c r="O449" s="338"/>
    </row>
    <row r="450">
      <c r="O450" s="338"/>
    </row>
    <row r="451">
      <c r="O451" s="338"/>
    </row>
    <row r="452">
      <c r="O452" s="338"/>
    </row>
    <row r="453">
      <c r="O453" s="338"/>
    </row>
    <row r="454">
      <c r="O454" s="338"/>
    </row>
    <row r="455">
      <c r="O455" s="338"/>
    </row>
    <row r="456">
      <c r="O456" s="338"/>
    </row>
    <row r="457">
      <c r="O457" s="338"/>
    </row>
    <row r="458">
      <c r="O458" s="338"/>
    </row>
    <row r="459">
      <c r="O459" s="338"/>
    </row>
    <row r="460">
      <c r="O460" s="338"/>
    </row>
    <row r="461">
      <c r="O461" s="338"/>
    </row>
    <row r="462">
      <c r="O462" s="338"/>
    </row>
    <row r="463">
      <c r="O463" s="338"/>
    </row>
    <row r="464">
      <c r="O464" s="338"/>
    </row>
    <row r="465">
      <c r="O465" s="338"/>
    </row>
    <row r="466">
      <c r="O466" s="338"/>
    </row>
    <row r="467">
      <c r="O467" s="338"/>
    </row>
    <row r="468">
      <c r="O468" s="338"/>
    </row>
    <row r="469">
      <c r="O469" s="338"/>
    </row>
    <row r="470">
      <c r="O470" s="338"/>
    </row>
    <row r="471">
      <c r="O471" s="338"/>
    </row>
    <row r="472">
      <c r="O472" s="338"/>
    </row>
    <row r="473">
      <c r="O473" s="338"/>
    </row>
    <row r="474">
      <c r="O474" s="338"/>
    </row>
    <row r="475">
      <c r="O475" s="338"/>
    </row>
    <row r="476">
      <c r="O476" s="338"/>
    </row>
    <row r="477">
      <c r="O477" s="338"/>
    </row>
    <row r="478">
      <c r="O478" s="338"/>
    </row>
    <row r="479">
      <c r="O479" s="338"/>
    </row>
    <row r="480">
      <c r="O480" s="338"/>
    </row>
    <row r="481">
      <c r="O481" s="338"/>
    </row>
    <row r="482">
      <c r="O482" s="338"/>
    </row>
    <row r="483">
      <c r="O483" s="338"/>
    </row>
    <row r="484">
      <c r="O484" s="338"/>
    </row>
    <row r="485">
      <c r="O485" s="338"/>
    </row>
    <row r="486">
      <c r="O486" s="338"/>
    </row>
    <row r="487">
      <c r="O487" s="338"/>
    </row>
    <row r="488">
      <c r="O488" s="338"/>
    </row>
    <row r="489">
      <c r="O489" s="338"/>
    </row>
    <row r="490">
      <c r="O490" s="338"/>
    </row>
    <row r="491">
      <c r="O491" s="338"/>
    </row>
    <row r="492">
      <c r="O492" s="338"/>
    </row>
    <row r="493">
      <c r="O493" s="338"/>
    </row>
    <row r="494">
      <c r="O494" s="338"/>
    </row>
    <row r="495">
      <c r="O495" s="338"/>
    </row>
    <row r="496">
      <c r="O496" s="338"/>
    </row>
    <row r="497">
      <c r="O497" s="338"/>
    </row>
    <row r="498">
      <c r="O498" s="338"/>
    </row>
    <row r="499">
      <c r="O499" s="338"/>
    </row>
    <row r="500">
      <c r="O500" s="338"/>
    </row>
    <row r="501">
      <c r="O501" s="338"/>
    </row>
    <row r="502">
      <c r="O502" s="338"/>
    </row>
    <row r="503">
      <c r="O503" s="338"/>
    </row>
    <row r="504">
      <c r="O504" s="338"/>
    </row>
    <row r="505">
      <c r="O505" s="338"/>
    </row>
    <row r="506">
      <c r="O506" s="338"/>
    </row>
    <row r="507">
      <c r="O507" s="338"/>
    </row>
    <row r="508">
      <c r="O508" s="338"/>
    </row>
    <row r="509">
      <c r="O509" s="338"/>
    </row>
    <row r="510">
      <c r="O510" s="338"/>
    </row>
    <row r="511">
      <c r="O511" s="338"/>
    </row>
    <row r="512">
      <c r="O512" s="338"/>
    </row>
    <row r="513">
      <c r="O513" s="338"/>
    </row>
    <row r="514">
      <c r="O514" s="338"/>
    </row>
    <row r="515">
      <c r="O515" s="338"/>
    </row>
    <row r="516">
      <c r="O516" s="338"/>
    </row>
    <row r="517">
      <c r="O517" s="338"/>
    </row>
    <row r="518">
      <c r="O518" s="338"/>
    </row>
    <row r="519">
      <c r="O519" s="338"/>
    </row>
    <row r="520">
      <c r="O520" s="338"/>
    </row>
    <row r="521">
      <c r="O521" s="338"/>
    </row>
    <row r="522">
      <c r="O522" s="338"/>
    </row>
    <row r="523">
      <c r="O523" s="338"/>
    </row>
    <row r="524">
      <c r="O524" s="338"/>
    </row>
    <row r="525">
      <c r="O525" s="338"/>
    </row>
    <row r="526">
      <c r="O526" s="338"/>
    </row>
    <row r="527">
      <c r="O527" s="338"/>
    </row>
    <row r="528">
      <c r="O528" s="338"/>
    </row>
    <row r="529">
      <c r="O529" s="338"/>
    </row>
    <row r="530">
      <c r="O530" s="338"/>
    </row>
    <row r="531">
      <c r="O531" s="338"/>
    </row>
    <row r="532">
      <c r="O532" s="338"/>
    </row>
    <row r="533">
      <c r="O533" s="338"/>
    </row>
    <row r="534">
      <c r="O534" s="338"/>
    </row>
    <row r="535">
      <c r="O535" s="338"/>
    </row>
    <row r="536">
      <c r="O536" s="338"/>
    </row>
    <row r="537">
      <c r="O537" s="338"/>
    </row>
    <row r="538">
      <c r="O538" s="338"/>
    </row>
    <row r="539">
      <c r="O539" s="338"/>
    </row>
    <row r="540">
      <c r="O540" s="338"/>
    </row>
    <row r="541">
      <c r="O541" s="338"/>
    </row>
    <row r="542">
      <c r="O542" s="338"/>
    </row>
    <row r="543">
      <c r="O543" s="338"/>
    </row>
    <row r="544">
      <c r="O544" s="338"/>
    </row>
    <row r="545">
      <c r="O545" s="338"/>
    </row>
    <row r="546">
      <c r="O546" s="338"/>
    </row>
    <row r="547">
      <c r="O547" s="338"/>
    </row>
    <row r="548">
      <c r="O548" s="338"/>
    </row>
    <row r="549">
      <c r="O549" s="338"/>
    </row>
    <row r="550">
      <c r="O550" s="338"/>
    </row>
    <row r="551">
      <c r="O551" s="338"/>
    </row>
    <row r="552">
      <c r="O552" s="338"/>
    </row>
    <row r="553">
      <c r="O553" s="338"/>
    </row>
    <row r="554">
      <c r="O554" s="338"/>
    </row>
    <row r="555">
      <c r="O555" s="338"/>
    </row>
    <row r="556">
      <c r="O556" s="338"/>
    </row>
    <row r="557">
      <c r="O557" s="338"/>
    </row>
    <row r="558">
      <c r="O558" s="338"/>
    </row>
    <row r="559">
      <c r="O559" s="338"/>
    </row>
    <row r="560">
      <c r="O560" s="338"/>
    </row>
    <row r="561">
      <c r="O561" s="338"/>
    </row>
    <row r="562">
      <c r="O562" s="338"/>
    </row>
    <row r="563">
      <c r="O563" s="338"/>
    </row>
    <row r="564">
      <c r="O564" s="338"/>
    </row>
    <row r="565">
      <c r="O565" s="338"/>
    </row>
    <row r="566">
      <c r="O566" s="338"/>
    </row>
    <row r="567">
      <c r="O567" s="338"/>
    </row>
    <row r="568">
      <c r="O568" s="338"/>
    </row>
    <row r="569">
      <c r="O569" s="338"/>
    </row>
    <row r="570">
      <c r="O570" s="338"/>
    </row>
    <row r="571">
      <c r="O571" s="338"/>
    </row>
    <row r="572">
      <c r="O572" s="338"/>
    </row>
    <row r="573">
      <c r="O573" s="338"/>
    </row>
    <row r="574">
      <c r="O574" s="338"/>
    </row>
    <row r="575">
      <c r="O575" s="338"/>
    </row>
    <row r="576">
      <c r="O576" s="338"/>
    </row>
    <row r="577">
      <c r="O577" s="338"/>
    </row>
    <row r="578">
      <c r="O578" s="338"/>
    </row>
    <row r="579">
      <c r="O579" s="338"/>
    </row>
    <row r="580">
      <c r="O580" s="338"/>
    </row>
    <row r="581">
      <c r="O581" s="338"/>
    </row>
    <row r="582">
      <c r="O582" s="338"/>
    </row>
    <row r="583">
      <c r="O583" s="338"/>
    </row>
    <row r="584">
      <c r="O584" s="338"/>
    </row>
    <row r="585">
      <c r="O585" s="338"/>
    </row>
    <row r="586">
      <c r="O586" s="338"/>
    </row>
    <row r="587">
      <c r="O587" s="338"/>
    </row>
    <row r="588">
      <c r="O588" s="338"/>
    </row>
    <row r="589">
      <c r="O589" s="338"/>
    </row>
    <row r="590">
      <c r="O590" s="338"/>
    </row>
    <row r="591">
      <c r="O591" s="338"/>
    </row>
    <row r="592">
      <c r="O592" s="338"/>
    </row>
    <row r="593">
      <c r="O593" s="338"/>
    </row>
    <row r="594">
      <c r="O594" s="338"/>
    </row>
    <row r="595">
      <c r="O595" s="338"/>
    </row>
    <row r="596">
      <c r="O596" s="338"/>
    </row>
    <row r="597">
      <c r="O597" s="338"/>
    </row>
    <row r="598">
      <c r="O598" s="338"/>
    </row>
    <row r="599">
      <c r="O599" s="338"/>
    </row>
    <row r="600">
      <c r="O600" s="338"/>
    </row>
    <row r="601">
      <c r="O601" s="338"/>
    </row>
    <row r="602">
      <c r="O602" s="338"/>
    </row>
    <row r="603">
      <c r="O603" s="338"/>
    </row>
    <row r="604">
      <c r="O604" s="338"/>
    </row>
    <row r="605">
      <c r="O605" s="338"/>
    </row>
    <row r="606">
      <c r="O606" s="338"/>
    </row>
    <row r="607">
      <c r="O607" s="338"/>
    </row>
    <row r="608">
      <c r="O608" s="338"/>
    </row>
    <row r="609">
      <c r="O609" s="338"/>
    </row>
    <row r="610">
      <c r="O610" s="338"/>
    </row>
    <row r="611">
      <c r="O611" s="338"/>
    </row>
    <row r="612">
      <c r="O612" s="338"/>
    </row>
    <row r="613">
      <c r="O613" s="338"/>
    </row>
    <row r="614">
      <c r="O614" s="338"/>
    </row>
    <row r="615">
      <c r="O615" s="338"/>
    </row>
    <row r="616">
      <c r="O616" s="338"/>
    </row>
    <row r="617">
      <c r="O617" s="338"/>
    </row>
    <row r="618">
      <c r="O618" s="338"/>
    </row>
    <row r="619">
      <c r="O619" s="338"/>
    </row>
    <row r="620">
      <c r="O620" s="338"/>
    </row>
    <row r="621">
      <c r="O621" s="338"/>
    </row>
    <row r="622">
      <c r="O622" s="338"/>
    </row>
    <row r="623">
      <c r="O623" s="338"/>
    </row>
    <row r="624">
      <c r="O624" s="338"/>
    </row>
    <row r="625">
      <c r="O625" s="338"/>
    </row>
    <row r="626">
      <c r="O626" s="338"/>
    </row>
    <row r="627">
      <c r="O627" s="338"/>
    </row>
    <row r="628">
      <c r="O628" s="338"/>
    </row>
    <row r="629">
      <c r="O629" s="338"/>
    </row>
    <row r="630">
      <c r="O630" s="338"/>
    </row>
    <row r="631">
      <c r="O631" s="338"/>
    </row>
    <row r="632">
      <c r="O632" s="338"/>
    </row>
    <row r="633">
      <c r="O633" s="338"/>
    </row>
    <row r="634">
      <c r="O634" s="338"/>
    </row>
    <row r="635">
      <c r="O635" s="338"/>
    </row>
    <row r="636">
      <c r="O636" s="338"/>
    </row>
    <row r="637">
      <c r="O637" s="338"/>
    </row>
    <row r="638">
      <c r="O638" s="338"/>
    </row>
    <row r="639">
      <c r="O639" s="338"/>
    </row>
    <row r="640">
      <c r="O640" s="338"/>
    </row>
    <row r="641">
      <c r="O641" s="338"/>
    </row>
    <row r="642">
      <c r="O642" s="338"/>
    </row>
    <row r="643">
      <c r="O643" s="338"/>
    </row>
    <row r="644">
      <c r="O644" s="338"/>
    </row>
    <row r="645">
      <c r="O645" s="338"/>
    </row>
    <row r="646">
      <c r="O646" s="338"/>
    </row>
    <row r="647">
      <c r="O647" s="338"/>
    </row>
    <row r="648">
      <c r="O648" s="338"/>
    </row>
    <row r="649">
      <c r="O649" s="338"/>
    </row>
    <row r="650">
      <c r="O650" s="338"/>
    </row>
    <row r="651">
      <c r="O651" s="338"/>
    </row>
    <row r="652">
      <c r="O652" s="338"/>
    </row>
    <row r="653">
      <c r="O653" s="338"/>
    </row>
    <row r="654">
      <c r="O654" s="338"/>
    </row>
    <row r="655">
      <c r="O655" s="338"/>
    </row>
    <row r="656">
      <c r="O656" s="338"/>
    </row>
    <row r="657">
      <c r="O657" s="338"/>
    </row>
    <row r="658">
      <c r="O658" s="338"/>
    </row>
    <row r="659">
      <c r="O659" s="338"/>
    </row>
    <row r="660">
      <c r="O660" s="338"/>
    </row>
    <row r="661">
      <c r="O661" s="338"/>
    </row>
    <row r="662">
      <c r="O662" s="338"/>
    </row>
    <row r="663">
      <c r="O663" s="338"/>
    </row>
    <row r="664">
      <c r="O664" s="338"/>
    </row>
    <row r="665">
      <c r="O665" s="338"/>
    </row>
    <row r="666">
      <c r="O666" s="338"/>
    </row>
    <row r="667">
      <c r="O667" s="338"/>
    </row>
    <row r="668">
      <c r="O668" s="338"/>
    </row>
    <row r="669">
      <c r="O669" s="338"/>
    </row>
    <row r="670">
      <c r="O670" s="338"/>
    </row>
    <row r="671">
      <c r="O671" s="338"/>
    </row>
    <row r="672">
      <c r="O672" s="338"/>
    </row>
    <row r="673">
      <c r="O673" s="338"/>
    </row>
    <row r="674">
      <c r="O674" s="338"/>
    </row>
    <row r="675">
      <c r="O675" s="338"/>
    </row>
    <row r="676">
      <c r="O676" s="338"/>
    </row>
    <row r="677">
      <c r="O677" s="338"/>
    </row>
    <row r="678">
      <c r="O678" s="338"/>
    </row>
    <row r="679">
      <c r="O679" s="338"/>
    </row>
    <row r="680">
      <c r="O680" s="338"/>
    </row>
    <row r="681">
      <c r="O681" s="338"/>
    </row>
    <row r="682">
      <c r="O682" s="338"/>
    </row>
    <row r="683">
      <c r="O683" s="338"/>
    </row>
    <row r="684">
      <c r="O684" s="338"/>
    </row>
    <row r="685">
      <c r="O685" s="338"/>
    </row>
    <row r="686">
      <c r="O686" s="338"/>
    </row>
    <row r="687">
      <c r="O687" s="338"/>
    </row>
    <row r="688">
      <c r="O688" s="338"/>
    </row>
    <row r="689">
      <c r="O689" s="338"/>
    </row>
    <row r="690">
      <c r="O690" s="338"/>
    </row>
    <row r="691">
      <c r="O691" s="338"/>
    </row>
    <row r="692">
      <c r="O692" s="338"/>
    </row>
    <row r="693">
      <c r="O693" s="338"/>
    </row>
    <row r="694">
      <c r="O694" s="338"/>
    </row>
    <row r="695">
      <c r="O695" s="338"/>
    </row>
    <row r="696">
      <c r="O696" s="338"/>
    </row>
    <row r="697">
      <c r="O697" s="338"/>
    </row>
    <row r="698">
      <c r="O698" s="338"/>
    </row>
    <row r="699">
      <c r="O699" s="338"/>
    </row>
    <row r="700">
      <c r="O700" s="338"/>
    </row>
    <row r="701">
      <c r="O701" s="338"/>
    </row>
    <row r="702">
      <c r="O702" s="338"/>
    </row>
    <row r="703">
      <c r="O703" s="338"/>
    </row>
    <row r="704">
      <c r="O704" s="338"/>
    </row>
    <row r="705">
      <c r="O705" s="338"/>
    </row>
    <row r="706">
      <c r="O706" s="338"/>
    </row>
    <row r="707">
      <c r="O707" s="338"/>
    </row>
    <row r="708">
      <c r="O708" s="338"/>
    </row>
    <row r="709">
      <c r="O709" s="338"/>
    </row>
    <row r="710">
      <c r="O710" s="338"/>
    </row>
    <row r="711">
      <c r="O711" s="338"/>
    </row>
    <row r="712">
      <c r="O712" s="338"/>
    </row>
    <row r="713">
      <c r="O713" s="338"/>
    </row>
    <row r="714">
      <c r="O714" s="338"/>
    </row>
    <row r="715">
      <c r="O715" s="338"/>
    </row>
    <row r="716">
      <c r="O716" s="338"/>
    </row>
    <row r="717">
      <c r="O717" s="338"/>
    </row>
    <row r="718">
      <c r="O718" s="338"/>
    </row>
    <row r="719">
      <c r="O719" s="338"/>
    </row>
    <row r="720">
      <c r="O720" s="338"/>
    </row>
    <row r="721">
      <c r="O721" s="338"/>
    </row>
    <row r="722">
      <c r="O722" s="338"/>
    </row>
    <row r="723">
      <c r="O723" s="338"/>
    </row>
    <row r="724">
      <c r="O724" s="338"/>
    </row>
    <row r="725">
      <c r="O725" s="338"/>
    </row>
    <row r="726">
      <c r="O726" s="338"/>
    </row>
    <row r="727">
      <c r="O727" s="338"/>
    </row>
    <row r="728">
      <c r="O728" s="338"/>
    </row>
    <row r="729">
      <c r="O729" s="338"/>
    </row>
    <row r="730">
      <c r="O730" s="338"/>
    </row>
    <row r="731">
      <c r="O731" s="338"/>
    </row>
    <row r="732">
      <c r="O732" s="338"/>
    </row>
    <row r="733">
      <c r="O733" s="338"/>
    </row>
    <row r="734">
      <c r="O734" s="338"/>
    </row>
    <row r="735">
      <c r="O735" s="338"/>
    </row>
    <row r="736">
      <c r="O736" s="338"/>
    </row>
    <row r="737">
      <c r="O737" s="338"/>
    </row>
    <row r="738">
      <c r="O738" s="338"/>
    </row>
    <row r="739">
      <c r="O739" s="338"/>
    </row>
    <row r="740">
      <c r="O740" s="338"/>
    </row>
    <row r="741">
      <c r="O741" s="338"/>
    </row>
    <row r="742">
      <c r="O742" s="338"/>
    </row>
    <row r="743">
      <c r="O743" s="338"/>
    </row>
    <row r="744">
      <c r="O744" s="338"/>
    </row>
    <row r="745">
      <c r="O745" s="338"/>
    </row>
    <row r="746">
      <c r="O746" s="338"/>
    </row>
    <row r="747">
      <c r="O747" s="338"/>
    </row>
    <row r="748">
      <c r="O748" s="338"/>
    </row>
    <row r="749">
      <c r="O749" s="338"/>
    </row>
    <row r="750">
      <c r="O750" s="338"/>
    </row>
    <row r="751">
      <c r="O751" s="338"/>
    </row>
    <row r="752">
      <c r="O752" s="338"/>
    </row>
    <row r="753">
      <c r="O753" s="338"/>
    </row>
    <row r="754">
      <c r="O754" s="338"/>
    </row>
    <row r="755">
      <c r="O755" s="338"/>
    </row>
    <row r="756">
      <c r="O756" s="338"/>
    </row>
    <row r="757">
      <c r="O757" s="338"/>
    </row>
    <row r="758">
      <c r="O758" s="338"/>
    </row>
    <row r="759">
      <c r="O759" s="338"/>
    </row>
    <row r="760">
      <c r="O760" s="338"/>
    </row>
    <row r="761">
      <c r="O761" s="338"/>
    </row>
    <row r="762">
      <c r="O762" s="338"/>
    </row>
    <row r="763">
      <c r="O763" s="338"/>
    </row>
    <row r="764">
      <c r="O764" s="338"/>
    </row>
    <row r="765">
      <c r="O765" s="338"/>
    </row>
    <row r="766">
      <c r="O766" s="338"/>
    </row>
    <row r="767">
      <c r="O767" s="338"/>
    </row>
    <row r="768">
      <c r="O768" s="338"/>
    </row>
    <row r="769">
      <c r="O769" s="338"/>
    </row>
    <row r="770">
      <c r="O770" s="338"/>
    </row>
    <row r="771">
      <c r="O771" s="338"/>
    </row>
    <row r="772">
      <c r="O772" s="338"/>
    </row>
    <row r="773">
      <c r="O773" s="338"/>
    </row>
    <row r="774">
      <c r="O774" s="338"/>
    </row>
    <row r="775">
      <c r="O775" s="338"/>
    </row>
    <row r="776">
      <c r="O776" s="338"/>
    </row>
    <row r="777">
      <c r="O777" s="338"/>
    </row>
    <row r="778">
      <c r="O778" s="338"/>
    </row>
    <row r="779">
      <c r="O779" s="338"/>
    </row>
    <row r="780">
      <c r="O780" s="338"/>
    </row>
    <row r="781">
      <c r="O781" s="338"/>
    </row>
    <row r="782">
      <c r="O782" s="338"/>
    </row>
    <row r="783">
      <c r="O783" s="338"/>
    </row>
    <row r="784">
      <c r="O784" s="338"/>
    </row>
    <row r="785">
      <c r="O785" s="338"/>
    </row>
    <row r="786">
      <c r="O786" s="338"/>
    </row>
    <row r="787">
      <c r="O787" s="338"/>
    </row>
    <row r="788">
      <c r="O788" s="338"/>
    </row>
    <row r="789">
      <c r="O789" s="338"/>
    </row>
    <row r="790">
      <c r="O790" s="338"/>
    </row>
    <row r="791">
      <c r="O791" s="338"/>
    </row>
    <row r="792">
      <c r="O792" s="338"/>
    </row>
    <row r="793">
      <c r="O793" s="338"/>
    </row>
    <row r="794">
      <c r="O794" s="338"/>
    </row>
    <row r="795">
      <c r="O795" s="338"/>
    </row>
    <row r="796">
      <c r="O796" s="338"/>
    </row>
    <row r="797">
      <c r="O797" s="338"/>
    </row>
    <row r="798">
      <c r="O798" s="338"/>
    </row>
    <row r="799">
      <c r="O799" s="338"/>
    </row>
    <row r="800">
      <c r="O800" s="338"/>
    </row>
    <row r="801">
      <c r="O801" s="338"/>
    </row>
    <row r="802">
      <c r="O802" s="338"/>
    </row>
    <row r="803">
      <c r="O803" s="338"/>
    </row>
    <row r="804">
      <c r="O804" s="338"/>
    </row>
    <row r="805">
      <c r="O805" s="338"/>
    </row>
    <row r="806">
      <c r="O806" s="338"/>
    </row>
    <row r="807">
      <c r="O807" s="338"/>
    </row>
    <row r="808">
      <c r="O808" s="338"/>
    </row>
    <row r="809">
      <c r="O809" s="338"/>
    </row>
    <row r="810">
      <c r="O810" s="338"/>
    </row>
    <row r="811">
      <c r="O811" s="338"/>
    </row>
    <row r="812">
      <c r="O812" s="338"/>
    </row>
    <row r="813">
      <c r="O813" s="338"/>
    </row>
    <row r="814">
      <c r="O814" s="338"/>
    </row>
    <row r="815">
      <c r="O815" s="338"/>
    </row>
    <row r="816">
      <c r="O816" s="338"/>
    </row>
    <row r="817">
      <c r="O817" s="338"/>
    </row>
    <row r="818">
      <c r="O818" s="338"/>
    </row>
    <row r="819">
      <c r="O819" s="338"/>
    </row>
    <row r="820">
      <c r="O820" s="338"/>
    </row>
    <row r="821">
      <c r="O821" s="338"/>
    </row>
    <row r="822">
      <c r="O822" s="338"/>
    </row>
    <row r="823">
      <c r="O823" s="338"/>
    </row>
    <row r="824">
      <c r="O824" s="338"/>
    </row>
    <row r="825">
      <c r="O825" s="338"/>
    </row>
    <row r="826">
      <c r="O826" s="338"/>
    </row>
    <row r="827">
      <c r="O827" s="338"/>
    </row>
    <row r="828">
      <c r="O828" s="338"/>
    </row>
    <row r="829">
      <c r="O829" s="338"/>
    </row>
    <row r="830">
      <c r="O830" s="338"/>
    </row>
    <row r="831">
      <c r="O831" s="338"/>
    </row>
    <row r="832">
      <c r="O832" s="338"/>
    </row>
    <row r="833">
      <c r="O833" s="338"/>
    </row>
    <row r="834">
      <c r="O834" s="338"/>
    </row>
    <row r="835">
      <c r="O835" s="338"/>
    </row>
    <row r="836">
      <c r="O836" s="338"/>
    </row>
    <row r="837">
      <c r="O837" s="338"/>
    </row>
    <row r="838">
      <c r="O838" s="338"/>
    </row>
    <row r="839">
      <c r="O839" s="338"/>
    </row>
    <row r="840">
      <c r="O840" s="338"/>
    </row>
    <row r="841">
      <c r="O841" s="338"/>
    </row>
    <row r="842">
      <c r="O842" s="338"/>
    </row>
    <row r="843">
      <c r="O843" s="338"/>
    </row>
    <row r="844">
      <c r="O844" s="338"/>
    </row>
    <row r="845">
      <c r="O845" s="338"/>
    </row>
    <row r="846">
      <c r="O846" s="338"/>
    </row>
    <row r="847">
      <c r="O847" s="338"/>
    </row>
    <row r="848">
      <c r="O848" s="338"/>
    </row>
    <row r="849">
      <c r="O849" s="338"/>
    </row>
    <row r="850">
      <c r="O850" s="338"/>
    </row>
    <row r="851">
      <c r="O851" s="338"/>
    </row>
    <row r="852">
      <c r="O852" s="338"/>
    </row>
    <row r="853">
      <c r="O853" s="338"/>
    </row>
    <row r="854">
      <c r="O854" s="338"/>
    </row>
    <row r="855">
      <c r="O855" s="338"/>
    </row>
    <row r="856">
      <c r="O856" s="338"/>
    </row>
    <row r="857">
      <c r="O857" s="338"/>
    </row>
    <row r="858">
      <c r="O858" s="338"/>
    </row>
    <row r="859">
      <c r="O859" s="338"/>
    </row>
    <row r="860">
      <c r="O860" s="338"/>
    </row>
    <row r="861">
      <c r="O861" s="338"/>
    </row>
    <row r="862">
      <c r="O862" s="338"/>
    </row>
    <row r="863">
      <c r="O863" s="338"/>
    </row>
    <row r="864">
      <c r="O864" s="338"/>
    </row>
    <row r="865">
      <c r="O865" s="338"/>
    </row>
    <row r="866">
      <c r="O866" s="338"/>
    </row>
    <row r="867">
      <c r="O867" s="338"/>
    </row>
    <row r="868">
      <c r="O868" s="338"/>
    </row>
    <row r="869">
      <c r="O869" s="338"/>
    </row>
    <row r="870">
      <c r="O870" s="338"/>
    </row>
    <row r="871">
      <c r="O871" s="338"/>
    </row>
    <row r="872">
      <c r="O872" s="338"/>
    </row>
    <row r="873">
      <c r="O873" s="338"/>
    </row>
    <row r="874">
      <c r="O874" s="338"/>
    </row>
    <row r="875">
      <c r="O875" s="338"/>
    </row>
    <row r="876">
      <c r="O876" s="338"/>
    </row>
    <row r="877">
      <c r="O877" s="338"/>
    </row>
    <row r="878">
      <c r="O878" s="338"/>
    </row>
    <row r="879">
      <c r="O879" s="338"/>
    </row>
    <row r="880">
      <c r="O880" s="338"/>
    </row>
    <row r="881">
      <c r="O881" s="338"/>
    </row>
    <row r="882">
      <c r="O882" s="338"/>
    </row>
    <row r="883">
      <c r="O883" s="338"/>
    </row>
    <row r="884">
      <c r="O884" s="338"/>
    </row>
    <row r="885">
      <c r="O885" s="338"/>
    </row>
    <row r="886">
      <c r="O886" s="338"/>
    </row>
    <row r="887">
      <c r="O887" s="338"/>
    </row>
    <row r="888">
      <c r="O888" s="338"/>
    </row>
    <row r="889">
      <c r="O889" s="338"/>
    </row>
    <row r="890">
      <c r="O890" s="338"/>
    </row>
    <row r="891">
      <c r="O891" s="338"/>
    </row>
    <row r="892">
      <c r="O892" s="338"/>
    </row>
    <row r="893">
      <c r="O893" s="338"/>
    </row>
    <row r="894">
      <c r="O894" s="338"/>
    </row>
    <row r="895">
      <c r="O895" s="338"/>
    </row>
    <row r="896">
      <c r="O896" s="338"/>
    </row>
    <row r="897">
      <c r="O897" s="338"/>
    </row>
    <row r="898">
      <c r="O898" s="338"/>
    </row>
    <row r="899">
      <c r="O899" s="338"/>
    </row>
    <row r="900">
      <c r="O900" s="338"/>
    </row>
    <row r="901">
      <c r="O901" s="338"/>
    </row>
    <row r="902">
      <c r="O902" s="338"/>
    </row>
    <row r="903">
      <c r="O903" s="338"/>
    </row>
    <row r="904">
      <c r="O904" s="338"/>
    </row>
    <row r="905">
      <c r="O905" s="338"/>
    </row>
    <row r="906">
      <c r="O906" s="338"/>
    </row>
    <row r="907">
      <c r="O907" s="338"/>
    </row>
    <row r="908">
      <c r="O908" s="338"/>
    </row>
    <row r="909">
      <c r="O909" s="338"/>
    </row>
    <row r="910">
      <c r="O910" s="338"/>
    </row>
    <row r="911">
      <c r="O911" s="338"/>
    </row>
    <row r="912">
      <c r="O912" s="338"/>
    </row>
    <row r="913">
      <c r="O913" s="338"/>
    </row>
    <row r="914">
      <c r="O914" s="338"/>
    </row>
    <row r="915">
      <c r="O915" s="338"/>
    </row>
    <row r="916">
      <c r="O916" s="338"/>
    </row>
    <row r="917">
      <c r="O917" s="338"/>
    </row>
    <row r="918">
      <c r="O918" s="338"/>
    </row>
    <row r="919">
      <c r="O919" s="338"/>
    </row>
    <row r="920">
      <c r="O920" s="338"/>
    </row>
    <row r="921">
      <c r="O921" s="338"/>
    </row>
    <row r="922">
      <c r="O922" s="338"/>
    </row>
    <row r="923">
      <c r="O923" s="338"/>
    </row>
    <row r="924">
      <c r="O924" s="338"/>
    </row>
    <row r="925">
      <c r="O925" s="338"/>
    </row>
    <row r="926">
      <c r="O926" s="338"/>
    </row>
    <row r="927">
      <c r="O927" s="338"/>
    </row>
    <row r="928">
      <c r="O928" s="338"/>
    </row>
    <row r="929">
      <c r="O929" s="338"/>
    </row>
    <row r="930">
      <c r="O930" s="338"/>
    </row>
    <row r="931">
      <c r="O931" s="338"/>
    </row>
    <row r="932">
      <c r="O932" s="338"/>
    </row>
    <row r="933">
      <c r="O933" s="338"/>
    </row>
    <row r="934">
      <c r="O934" s="338"/>
    </row>
    <row r="935">
      <c r="O935" s="338"/>
    </row>
    <row r="936">
      <c r="O936" s="338"/>
    </row>
    <row r="937">
      <c r="O937" s="338"/>
    </row>
    <row r="938">
      <c r="O938" s="338"/>
    </row>
    <row r="939">
      <c r="O939" s="338"/>
    </row>
    <row r="940">
      <c r="O940" s="338"/>
    </row>
    <row r="941">
      <c r="O941" s="338"/>
    </row>
    <row r="942">
      <c r="O942" s="338"/>
    </row>
    <row r="943">
      <c r="O943" s="338"/>
    </row>
    <row r="944">
      <c r="O944" s="338"/>
    </row>
    <row r="945">
      <c r="O945" s="338"/>
    </row>
    <row r="946">
      <c r="O946" s="338"/>
    </row>
    <row r="947">
      <c r="O947" s="338"/>
    </row>
    <row r="948">
      <c r="O948" s="338"/>
    </row>
    <row r="949">
      <c r="O949" s="338"/>
    </row>
    <row r="950">
      <c r="O950" s="338"/>
    </row>
    <row r="951">
      <c r="O951" s="338"/>
    </row>
    <row r="952">
      <c r="O952" s="338"/>
    </row>
    <row r="953">
      <c r="O953" s="338"/>
    </row>
    <row r="954">
      <c r="O954" s="338"/>
    </row>
    <row r="955">
      <c r="O955" s="338"/>
    </row>
    <row r="956">
      <c r="O956" s="338"/>
    </row>
    <row r="957">
      <c r="O957" s="338"/>
    </row>
    <row r="958">
      <c r="O958" s="338"/>
    </row>
    <row r="959">
      <c r="O959" s="338"/>
    </row>
    <row r="960">
      <c r="O960" s="338"/>
    </row>
    <row r="961">
      <c r="O961" s="338"/>
    </row>
    <row r="962">
      <c r="O962" s="338"/>
    </row>
    <row r="963">
      <c r="O963" s="338"/>
    </row>
    <row r="964">
      <c r="O964" s="338"/>
    </row>
    <row r="965">
      <c r="O965" s="338"/>
    </row>
    <row r="966">
      <c r="O966" s="338"/>
    </row>
    <row r="967">
      <c r="O967" s="338"/>
    </row>
    <row r="968">
      <c r="O968" s="338"/>
    </row>
    <row r="969">
      <c r="O969" s="338"/>
    </row>
    <row r="970">
      <c r="O970" s="338"/>
    </row>
    <row r="971">
      <c r="O971" s="338"/>
    </row>
    <row r="972">
      <c r="O972" s="338"/>
    </row>
    <row r="973">
      <c r="O973" s="338"/>
    </row>
    <row r="974">
      <c r="O974" s="338"/>
    </row>
    <row r="975">
      <c r="O975" s="338"/>
    </row>
    <row r="976">
      <c r="O976" s="338"/>
    </row>
    <row r="977">
      <c r="O977" s="338"/>
    </row>
    <row r="978">
      <c r="O978" s="338"/>
    </row>
    <row r="979">
      <c r="O979" s="338"/>
    </row>
    <row r="980">
      <c r="O980" s="338"/>
    </row>
    <row r="981">
      <c r="O981" s="338"/>
    </row>
    <row r="982">
      <c r="O982" s="338"/>
    </row>
    <row r="983">
      <c r="O983" s="338"/>
    </row>
    <row r="984">
      <c r="O984" s="338"/>
    </row>
    <row r="985">
      <c r="O985" s="338"/>
    </row>
    <row r="986">
      <c r="O986" s="338"/>
    </row>
    <row r="987">
      <c r="O987" s="338"/>
    </row>
    <row r="988">
      <c r="O988" s="338"/>
    </row>
    <row r="989">
      <c r="O989" s="338"/>
    </row>
    <row r="990">
      <c r="O990" s="338"/>
    </row>
    <row r="991">
      <c r="O991" s="338"/>
    </row>
    <row r="992">
      <c r="O992" s="338"/>
    </row>
    <row r="993">
      <c r="O993" s="338"/>
    </row>
    <row r="994">
      <c r="O994" s="338"/>
    </row>
    <row r="995">
      <c r="O995" s="338"/>
    </row>
    <row r="996">
      <c r="O996" s="338"/>
    </row>
    <row r="997">
      <c r="O997" s="338"/>
    </row>
    <row r="998">
      <c r="O998" s="338"/>
    </row>
    <row r="999">
      <c r="O999" s="338"/>
    </row>
    <row r="1000">
      <c r="O1000" s="338"/>
    </row>
  </sheetData>
  <mergeCells count="2">
    <mergeCell ref="E9:J9"/>
    <mergeCell ref="E12:J12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1" t="s">
        <v>363</v>
      </c>
    </row>
    <row r="2">
      <c r="A2" s="3"/>
      <c r="B2" s="4"/>
      <c r="C2" s="4"/>
      <c r="D2" s="360" t="s">
        <v>364</v>
      </c>
      <c r="E2" s="6"/>
      <c r="F2" s="6"/>
    </row>
    <row r="3">
      <c r="A3" s="238" t="s">
        <v>2</v>
      </c>
      <c r="B3" s="239" t="s">
        <v>3</v>
      </c>
      <c r="C3" s="240"/>
      <c r="D3" s="241" t="s">
        <v>4</v>
      </c>
      <c r="E3" s="241" t="s">
        <v>5</v>
      </c>
      <c r="F3" s="241" t="s">
        <v>6</v>
      </c>
    </row>
    <row r="4">
      <c r="A4" s="361" t="s">
        <v>365</v>
      </c>
      <c r="B4" s="362"/>
      <c r="C4" s="14"/>
      <c r="D4" s="363"/>
      <c r="E4" s="363"/>
      <c r="F4" s="363"/>
    </row>
    <row r="5">
      <c r="A5" s="16"/>
      <c r="C5" s="14"/>
      <c r="D5" s="25"/>
      <c r="E5" s="25"/>
      <c r="F5" s="25"/>
    </row>
    <row r="6">
      <c r="A6" s="20"/>
      <c r="B6" s="9"/>
      <c r="C6" s="21"/>
      <c r="D6" s="27"/>
      <c r="E6" s="27"/>
      <c r="F6" s="27"/>
    </row>
    <row r="7">
      <c r="A7" s="364" t="s">
        <v>366</v>
      </c>
      <c r="B7" s="365"/>
      <c r="C7" s="244"/>
      <c r="D7" s="24"/>
      <c r="E7" s="24"/>
      <c r="F7" s="24"/>
    </row>
    <row r="8">
      <c r="A8" s="25"/>
      <c r="B8" s="366"/>
      <c r="C8" s="14"/>
      <c r="D8" s="14"/>
      <c r="E8" s="14"/>
      <c r="F8" s="14"/>
    </row>
    <row r="9">
      <c r="A9" s="27"/>
      <c r="B9" s="367"/>
      <c r="C9" s="21"/>
      <c r="D9" s="21"/>
      <c r="E9" s="21"/>
      <c r="F9" s="21"/>
    </row>
    <row r="10">
      <c r="A10" s="368" t="s">
        <v>367</v>
      </c>
      <c r="B10" s="31"/>
      <c r="C10" s="14"/>
      <c r="D10" s="32"/>
      <c r="E10" s="32"/>
      <c r="F10" s="32"/>
    </row>
    <row r="11">
      <c r="A11" s="3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190" t="s">
        <v>368</v>
      </c>
    </row>
    <row r="15">
      <c r="A15" s="45" t="s">
        <v>15</v>
      </c>
      <c r="B15" s="118"/>
      <c r="C15" s="46" t="s">
        <v>16</v>
      </c>
      <c r="D15" s="35"/>
      <c r="E15" s="35"/>
      <c r="F15" s="35"/>
    </row>
    <row r="16">
      <c r="A16" s="190" t="s">
        <v>369</v>
      </c>
      <c r="B16" s="190"/>
      <c r="C16" s="190">
        <v>0.45</v>
      </c>
      <c r="D16" s="190"/>
      <c r="E16" s="263" t="b">
        <v>1</v>
      </c>
      <c r="F16" s="190"/>
    </row>
    <row r="17">
      <c r="A17" s="190" t="s">
        <v>370</v>
      </c>
      <c r="B17" s="190"/>
      <c r="C17" s="190">
        <v>0.5</v>
      </c>
      <c r="D17" s="190"/>
      <c r="E17" s="263" t="b">
        <v>1</v>
      </c>
      <c r="F17" s="190"/>
    </row>
    <row r="18">
      <c r="A18" s="190" t="s">
        <v>371</v>
      </c>
      <c r="C18" s="190"/>
      <c r="D18" s="190"/>
      <c r="E18" s="190"/>
      <c r="F18" s="190"/>
    </row>
    <row r="19">
      <c r="A19" s="369"/>
      <c r="B19" s="369"/>
      <c r="C19" s="369"/>
      <c r="D19" s="369"/>
      <c r="E19" s="369"/>
      <c r="F19" s="369"/>
    </row>
    <row r="20">
      <c r="A20" s="190" t="s">
        <v>372</v>
      </c>
    </row>
    <row r="21">
      <c r="A21" s="126" t="s">
        <v>15</v>
      </c>
      <c r="B21" s="118"/>
      <c r="C21" s="46" t="s">
        <v>16</v>
      </c>
      <c r="D21" s="35"/>
      <c r="E21" s="35"/>
      <c r="F21" s="35"/>
    </row>
    <row r="22">
      <c r="A22" s="370" t="s">
        <v>336</v>
      </c>
      <c r="B22" s="35"/>
      <c r="C22" s="208">
        <v>1.3</v>
      </c>
      <c r="D22" s="35"/>
      <c r="E22" s="263" t="b">
        <v>1</v>
      </c>
      <c r="F22" s="35"/>
    </row>
    <row r="23">
      <c r="A23" s="371" t="s">
        <v>338</v>
      </c>
      <c r="B23" s="35"/>
      <c r="C23" s="208">
        <v>0.25</v>
      </c>
      <c r="D23" s="35"/>
      <c r="E23" s="263" t="b">
        <v>1</v>
      </c>
      <c r="F23" s="35"/>
    </row>
    <row r="24">
      <c r="A24" s="371" t="s">
        <v>340</v>
      </c>
      <c r="B24" s="35"/>
      <c r="C24" s="208">
        <v>0.01</v>
      </c>
      <c r="D24" s="35"/>
      <c r="E24" s="263" t="b">
        <v>1</v>
      </c>
      <c r="F24" s="35"/>
    </row>
    <row r="25">
      <c r="A25" s="371" t="s">
        <v>271</v>
      </c>
      <c r="B25" s="35"/>
      <c r="C25" s="208">
        <v>0.01</v>
      </c>
      <c r="D25" s="35"/>
      <c r="E25" s="263" t="b">
        <v>1</v>
      </c>
      <c r="F25" s="35"/>
    </row>
    <row r="26">
      <c r="A26" s="371" t="s">
        <v>343</v>
      </c>
      <c r="B26" s="35"/>
      <c r="C26" s="208">
        <v>0.04</v>
      </c>
      <c r="D26" s="35"/>
      <c r="E26" s="263" t="b">
        <v>1</v>
      </c>
      <c r="F26" s="35"/>
    </row>
    <row r="27">
      <c r="A27" s="371" t="s">
        <v>91</v>
      </c>
      <c r="B27" s="35"/>
      <c r="C27" s="208">
        <v>0.025</v>
      </c>
      <c r="D27" s="35"/>
      <c r="E27" s="263" t="b">
        <v>1</v>
      </c>
      <c r="F27" s="35"/>
    </row>
    <row r="28">
      <c r="A28" s="371" t="s">
        <v>117</v>
      </c>
      <c r="B28" s="35"/>
      <c r="C28" s="208">
        <v>0.01</v>
      </c>
      <c r="D28" s="35"/>
      <c r="E28" s="263" t="b">
        <v>1</v>
      </c>
      <c r="F28" s="35"/>
    </row>
    <row r="29">
      <c r="A29" s="371" t="s">
        <v>158</v>
      </c>
      <c r="B29" s="372"/>
      <c r="C29" s="208">
        <v>0.025</v>
      </c>
      <c r="D29" s="372"/>
      <c r="E29" s="263" t="b">
        <v>1</v>
      </c>
      <c r="F29" s="372"/>
    </row>
    <row r="30">
      <c r="A30" s="324"/>
      <c r="B30" s="19"/>
      <c r="C30" s="19"/>
      <c r="D30" s="19"/>
      <c r="E30" s="19"/>
      <c r="F30" s="19"/>
    </row>
    <row r="31">
      <c r="A31" s="231" t="s">
        <v>373</v>
      </c>
      <c r="B31" s="19"/>
      <c r="C31" s="19"/>
      <c r="D31" s="19"/>
      <c r="E31" s="19"/>
      <c r="F31" s="19"/>
    </row>
    <row r="32">
      <c r="A32" s="98" t="s">
        <v>15</v>
      </c>
      <c r="B32" s="157"/>
      <c r="C32" s="129" t="s">
        <v>16</v>
      </c>
      <c r="D32" s="58"/>
      <c r="E32" s="58"/>
      <c r="F32" s="58"/>
    </row>
    <row r="33">
      <c r="A33" s="229" t="s">
        <v>183</v>
      </c>
      <c r="B33" s="373"/>
      <c r="C33" s="229">
        <v>0.6</v>
      </c>
      <c r="D33" s="373"/>
      <c r="E33" s="374" t="b">
        <v>1</v>
      </c>
      <c r="F33" s="373"/>
      <c r="K33" s="375"/>
    </row>
    <row r="34">
      <c r="A34" s="293" t="s">
        <v>374</v>
      </c>
      <c r="B34" s="196"/>
      <c r="C34" s="196"/>
      <c r="D34" s="2"/>
      <c r="E34" s="2"/>
      <c r="F34" s="2"/>
    </row>
    <row r="35">
      <c r="A35" s="51" t="s">
        <v>375</v>
      </c>
      <c r="B35" s="2"/>
      <c r="C35" s="2"/>
      <c r="D35" s="2"/>
      <c r="E35" s="2"/>
      <c r="F35" s="2"/>
    </row>
    <row r="36">
      <c r="A36" s="98" t="s">
        <v>15</v>
      </c>
      <c r="B36" s="157"/>
      <c r="C36" s="129" t="s">
        <v>16</v>
      </c>
      <c r="D36" s="58"/>
      <c r="E36" s="58"/>
      <c r="F36" s="58"/>
    </row>
    <row r="37">
      <c r="A37" s="57" t="s">
        <v>376</v>
      </c>
      <c r="B37" s="58"/>
      <c r="C37" s="300">
        <v>1.25</v>
      </c>
      <c r="D37" s="58"/>
      <c r="E37" s="374" t="b">
        <v>1</v>
      </c>
      <c r="F37" s="58"/>
    </row>
    <row r="38">
      <c r="A38" s="23"/>
      <c r="B38" s="23"/>
      <c r="C38" s="23"/>
      <c r="D38" s="23"/>
      <c r="E38" s="23"/>
      <c r="F38" s="23"/>
    </row>
    <row r="39">
      <c r="A39" s="376" t="s">
        <v>377</v>
      </c>
    </row>
    <row r="40">
      <c r="A40" s="377" t="s">
        <v>378</v>
      </c>
    </row>
    <row r="42">
      <c r="A42" s="98" t="s">
        <v>15</v>
      </c>
      <c r="B42" s="157"/>
      <c r="C42" s="129" t="s">
        <v>16</v>
      </c>
      <c r="D42" s="23"/>
      <c r="E42" s="23"/>
      <c r="F42" s="23"/>
    </row>
    <row r="43">
      <c r="A43" s="378" t="s">
        <v>55</v>
      </c>
      <c r="B43" s="23"/>
      <c r="C43" s="378">
        <v>0.25</v>
      </c>
      <c r="D43" s="23"/>
      <c r="E43" s="374" t="b">
        <v>1</v>
      </c>
      <c r="F43" s="23"/>
    </row>
    <row r="44">
      <c r="A44" s="378" t="s">
        <v>379</v>
      </c>
      <c r="B44" s="23"/>
      <c r="C44" s="378">
        <v>0.25</v>
      </c>
      <c r="D44" s="23"/>
      <c r="E44" s="374" t="b">
        <v>1</v>
      </c>
      <c r="F44" s="23"/>
    </row>
    <row r="45">
      <c r="A45" s="378" t="s">
        <v>380</v>
      </c>
      <c r="B45" s="23"/>
      <c r="C45" s="379" t="s">
        <v>381</v>
      </c>
      <c r="D45" s="23"/>
      <c r="E45" s="374" t="b">
        <v>1</v>
      </c>
      <c r="F45" s="23"/>
    </row>
    <row r="46">
      <c r="A46" s="23"/>
      <c r="B46" s="23"/>
      <c r="C46" s="23"/>
      <c r="D46" s="23"/>
      <c r="E46" s="23"/>
      <c r="F46" s="23"/>
    </row>
    <row r="47">
      <c r="A47" s="235" t="s">
        <v>382</v>
      </c>
      <c r="B47" s="380"/>
      <c r="C47" s="380"/>
      <c r="D47" s="380"/>
      <c r="E47" s="380"/>
      <c r="F47" s="380"/>
    </row>
    <row r="48">
      <c r="A48" s="381" t="s">
        <v>383</v>
      </c>
    </row>
    <row r="50">
      <c r="A50" s="382" t="s">
        <v>384</v>
      </c>
      <c r="B50" s="383"/>
      <c r="C50" s="383"/>
      <c r="D50" s="383"/>
      <c r="E50" s="383"/>
      <c r="F50" s="383"/>
    </row>
    <row r="51">
      <c r="A51" s="382" t="s">
        <v>385</v>
      </c>
      <c r="B51" s="383"/>
      <c r="C51" s="383"/>
      <c r="D51" s="383"/>
      <c r="E51" s="383"/>
      <c r="F51" s="383"/>
    </row>
    <row r="52">
      <c r="A52" s="382" t="s">
        <v>386</v>
      </c>
      <c r="B52" s="383"/>
      <c r="C52" s="383"/>
      <c r="D52" s="383"/>
      <c r="E52" s="383"/>
      <c r="F52" s="383"/>
    </row>
  </sheetData>
  <mergeCells count="23">
    <mergeCell ref="A1:F1"/>
    <mergeCell ref="B3:C3"/>
    <mergeCell ref="A4:A6"/>
    <mergeCell ref="B4:C6"/>
    <mergeCell ref="D4:D6"/>
    <mergeCell ref="E4:E6"/>
    <mergeCell ref="F4:F6"/>
    <mergeCell ref="D10:D11"/>
    <mergeCell ref="E10:E11"/>
    <mergeCell ref="B10:C11"/>
    <mergeCell ref="A13:F14"/>
    <mergeCell ref="A18:B18"/>
    <mergeCell ref="A20:F20"/>
    <mergeCell ref="A39:F39"/>
    <mergeCell ref="A40:F41"/>
    <mergeCell ref="A48:F49"/>
    <mergeCell ref="A7:A9"/>
    <mergeCell ref="B7:C9"/>
    <mergeCell ref="D7:D9"/>
    <mergeCell ref="E7:E9"/>
    <mergeCell ref="F7:F9"/>
    <mergeCell ref="A10:A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3" max="3" width="15.25"/>
    <col customWidth="1" min="4" max="4" width="14.75"/>
    <col customWidth="1" min="5" max="5" width="14.38"/>
    <col customWidth="1" min="6" max="6" width="14.0"/>
  </cols>
  <sheetData>
    <row r="1">
      <c r="A1" s="272" t="s">
        <v>387</v>
      </c>
    </row>
    <row r="2">
      <c r="A2" s="145"/>
      <c r="B2" s="273"/>
      <c r="C2" s="273"/>
      <c r="D2" s="2"/>
      <c r="E2" s="2"/>
      <c r="F2" s="2"/>
    </row>
    <row r="3">
      <c r="A3" s="145"/>
      <c r="B3" s="273"/>
      <c r="C3" s="273"/>
      <c r="D3" s="2"/>
      <c r="E3" s="2"/>
      <c r="F3" s="2"/>
    </row>
    <row r="4">
      <c r="A4" s="3"/>
      <c r="B4" s="275"/>
      <c r="C4" s="275"/>
      <c r="D4" s="115"/>
      <c r="E4" s="115"/>
      <c r="F4" s="115"/>
    </row>
    <row r="5">
      <c r="A5" s="276" t="s">
        <v>2</v>
      </c>
      <c r="B5" s="277" t="s">
        <v>3</v>
      </c>
      <c r="C5" s="21"/>
      <c r="D5" s="278" t="s">
        <v>4</v>
      </c>
      <c r="E5" s="278" t="s">
        <v>5</v>
      </c>
      <c r="F5" s="278" t="s">
        <v>6</v>
      </c>
    </row>
    <row r="6">
      <c r="A6" s="384" t="s">
        <v>33</v>
      </c>
      <c r="B6" s="13" t="s">
        <v>260</v>
      </c>
      <c r="C6" s="14"/>
      <c r="D6" s="280"/>
      <c r="E6" s="280"/>
      <c r="F6" s="280"/>
    </row>
    <row r="7">
      <c r="A7" s="25"/>
      <c r="B7" s="117" t="s">
        <v>261</v>
      </c>
      <c r="C7" s="14"/>
      <c r="D7" s="14"/>
      <c r="E7" s="14"/>
      <c r="F7" s="14"/>
    </row>
    <row r="8">
      <c r="A8" s="27"/>
      <c r="B8" s="150"/>
      <c r="C8" s="21"/>
      <c r="D8" s="21"/>
      <c r="E8" s="21"/>
      <c r="F8" s="21"/>
    </row>
    <row r="9">
      <c r="A9" s="22" t="s">
        <v>36</v>
      </c>
      <c r="B9" s="26" t="s">
        <v>308</v>
      </c>
      <c r="C9" s="14"/>
      <c r="D9" s="24"/>
      <c r="E9" s="24"/>
      <c r="F9" s="24"/>
    </row>
    <row r="10">
      <c r="A10" s="25"/>
      <c r="B10" s="26" t="s">
        <v>309</v>
      </c>
      <c r="C10" s="14"/>
      <c r="D10" s="14"/>
      <c r="E10" s="14"/>
      <c r="F10" s="14"/>
    </row>
    <row r="11">
      <c r="A11" s="27"/>
      <c r="B11" s="28"/>
      <c r="C11" s="21"/>
      <c r="D11" s="21"/>
      <c r="E11" s="21"/>
      <c r="F11" s="21"/>
    </row>
    <row r="12">
      <c r="A12" s="385" t="s">
        <v>9</v>
      </c>
      <c r="B12" s="283" t="s">
        <v>265</v>
      </c>
      <c r="C12" s="14"/>
      <c r="D12" s="284"/>
      <c r="E12" s="284"/>
      <c r="F12" s="284"/>
    </row>
    <row r="13">
      <c r="A13" s="27"/>
      <c r="B13" s="285" t="s">
        <v>266</v>
      </c>
      <c r="C13" s="21"/>
      <c r="D13" s="21"/>
      <c r="E13" s="21"/>
      <c r="F13" s="21"/>
    </row>
    <row r="14">
      <c r="A14" s="386" t="s">
        <v>11</v>
      </c>
      <c r="B14" s="31" t="s">
        <v>267</v>
      </c>
      <c r="C14" s="14"/>
      <c r="D14" s="32"/>
      <c r="E14" s="32"/>
      <c r="F14" s="32"/>
    </row>
    <row r="15">
      <c r="A15" s="25"/>
      <c r="B15" s="31" t="s">
        <v>268</v>
      </c>
      <c r="C15" s="14"/>
      <c r="D15" s="14"/>
      <c r="E15" s="14"/>
      <c r="F15" s="14"/>
    </row>
    <row r="16">
      <c r="A16" s="27"/>
      <c r="B16" s="287" t="s">
        <v>11</v>
      </c>
      <c r="C16" s="21"/>
      <c r="D16" s="21"/>
      <c r="E16" s="21"/>
      <c r="F16" s="21"/>
    </row>
    <row r="17">
      <c r="A17" s="2"/>
      <c r="B17" s="2"/>
      <c r="C17" s="2"/>
      <c r="D17" s="2"/>
      <c r="E17" s="2"/>
      <c r="F17" s="2"/>
    </row>
    <row r="18">
      <c r="A18" s="292" t="s">
        <v>388</v>
      </c>
      <c r="B18" s="2"/>
      <c r="C18" s="2"/>
      <c r="D18" s="2"/>
      <c r="E18" s="2"/>
      <c r="F18" s="2"/>
    </row>
    <row r="19">
      <c r="A19" s="319" t="s">
        <v>389</v>
      </c>
      <c r="B19" s="2"/>
      <c r="C19" s="2"/>
      <c r="D19" s="2"/>
      <c r="E19" s="2"/>
      <c r="F19" s="2"/>
    </row>
    <row r="20">
      <c r="A20" s="126" t="s">
        <v>15</v>
      </c>
      <c r="B20" s="35"/>
      <c r="C20" s="320" t="s">
        <v>16</v>
      </c>
      <c r="D20" s="35"/>
      <c r="E20" s="35"/>
      <c r="F20" s="35"/>
    </row>
    <row r="21">
      <c r="A21" s="35" t="s">
        <v>273</v>
      </c>
      <c r="B21" s="35"/>
      <c r="C21" s="387">
        <v>160.0</v>
      </c>
      <c r="D21" s="35"/>
      <c r="E21" s="50" t="b">
        <v>0</v>
      </c>
      <c r="F21" s="35"/>
    </row>
    <row r="22">
      <c r="A22" s="35" t="s">
        <v>271</v>
      </c>
      <c r="B22" s="35"/>
      <c r="C22" s="291">
        <v>0.75</v>
      </c>
      <c r="D22" s="35"/>
      <c r="E22" s="50" t="b">
        <v>0</v>
      </c>
      <c r="F22" s="35"/>
    </row>
    <row r="23">
      <c r="A23" s="225" t="s">
        <v>312</v>
      </c>
      <c r="B23" s="35"/>
      <c r="C23" s="322">
        <v>0.125</v>
      </c>
      <c r="D23" s="35"/>
      <c r="E23" s="50" t="b">
        <v>0</v>
      </c>
      <c r="F23" s="35"/>
    </row>
    <row r="24">
      <c r="A24" s="319" t="s">
        <v>390</v>
      </c>
      <c r="B24" s="19"/>
      <c r="C24" s="19"/>
      <c r="D24" s="19"/>
      <c r="E24" s="19"/>
      <c r="F24" s="19"/>
    </row>
    <row r="25">
      <c r="A25" s="126" t="s">
        <v>15</v>
      </c>
      <c r="B25" s="35"/>
      <c r="C25" s="320" t="s">
        <v>16</v>
      </c>
      <c r="D25" s="35"/>
      <c r="E25" s="35"/>
      <c r="F25" s="35"/>
    </row>
    <row r="26">
      <c r="A26" s="35" t="s">
        <v>391</v>
      </c>
      <c r="B26" s="35"/>
      <c r="C26" s="79">
        <v>66.0</v>
      </c>
      <c r="D26" s="35"/>
      <c r="E26" s="50" t="b">
        <v>0</v>
      </c>
      <c r="F26" s="35"/>
    </row>
    <row r="27">
      <c r="A27" s="35" t="s">
        <v>271</v>
      </c>
      <c r="B27" s="35"/>
      <c r="C27" s="291">
        <v>0.75</v>
      </c>
      <c r="D27" s="35"/>
      <c r="E27" s="50" t="b">
        <v>0</v>
      </c>
      <c r="F27" s="35"/>
    </row>
    <row r="28">
      <c r="A28" s="225" t="s">
        <v>312</v>
      </c>
      <c r="B28" s="35"/>
      <c r="C28" s="322">
        <v>0.125</v>
      </c>
      <c r="D28" s="35"/>
      <c r="E28" s="50" t="b">
        <v>0</v>
      </c>
      <c r="F28" s="35"/>
    </row>
    <row r="29">
      <c r="A29" s="126"/>
      <c r="B29" s="35"/>
      <c r="C29" s="35"/>
      <c r="D29" s="35"/>
      <c r="E29" s="35"/>
      <c r="F29" s="35"/>
    </row>
    <row r="30">
      <c r="A30" s="323" t="s">
        <v>315</v>
      </c>
      <c r="B30" s="2"/>
      <c r="C30" s="2"/>
      <c r="D30" s="2"/>
      <c r="E30" s="2"/>
      <c r="F30" s="2"/>
    </row>
    <row r="31">
      <c r="A31" s="324" t="s">
        <v>316</v>
      </c>
      <c r="B31" s="19"/>
      <c r="C31" s="19"/>
      <c r="D31" s="19"/>
      <c r="E31" s="19"/>
      <c r="F31" s="19"/>
    </row>
    <row r="32">
      <c r="A32" s="45" t="s">
        <v>15</v>
      </c>
      <c r="B32" s="118"/>
      <c r="C32" s="76" t="s">
        <v>16</v>
      </c>
      <c r="D32" s="35"/>
      <c r="E32" s="35"/>
      <c r="F32" s="35"/>
    </row>
    <row r="33">
      <c r="A33" s="35" t="s">
        <v>317</v>
      </c>
      <c r="B33" s="35"/>
      <c r="C33" s="79">
        <v>10.0</v>
      </c>
      <c r="D33" s="35"/>
      <c r="E33" s="50" t="b">
        <v>0</v>
      </c>
      <c r="F33" s="35"/>
    </row>
    <row r="34">
      <c r="A34" s="35"/>
      <c r="B34" s="35"/>
      <c r="C34" s="56"/>
      <c r="D34" s="35"/>
      <c r="E34" s="35"/>
      <c r="F34" s="35"/>
    </row>
    <row r="35">
      <c r="A35" s="19"/>
      <c r="B35" s="19"/>
      <c r="C35" s="19"/>
      <c r="D35" s="19"/>
      <c r="E35" s="19"/>
      <c r="F35" s="19"/>
    </row>
    <row r="36">
      <c r="A36" s="19"/>
      <c r="B36" s="19"/>
      <c r="C36" s="19"/>
      <c r="D36" s="19"/>
      <c r="E36" s="19"/>
      <c r="F36" s="19"/>
    </row>
    <row r="37">
      <c r="A37" s="19"/>
      <c r="B37" s="19"/>
      <c r="C37" s="19"/>
      <c r="D37" s="19"/>
      <c r="E37" s="19"/>
      <c r="F37" s="19"/>
    </row>
    <row r="38">
      <c r="A38" s="19"/>
      <c r="B38" s="19"/>
      <c r="C38" s="19"/>
      <c r="D38" s="19"/>
      <c r="E38" s="19"/>
      <c r="F38" s="19"/>
    </row>
    <row r="39">
      <c r="A39" s="19"/>
      <c r="B39" s="19"/>
      <c r="C39" s="19"/>
      <c r="D39" s="19"/>
      <c r="E39" s="19"/>
      <c r="F39" s="19"/>
    </row>
    <row r="40">
      <c r="A40" s="19"/>
      <c r="B40" s="19"/>
      <c r="C40" s="19"/>
      <c r="D40" s="19"/>
      <c r="E40" s="19"/>
      <c r="F40" s="19"/>
    </row>
    <row r="41">
      <c r="A41" s="19"/>
      <c r="B41" s="19"/>
      <c r="C41" s="19"/>
      <c r="D41" s="19"/>
      <c r="E41" s="19"/>
      <c r="F41" s="19"/>
    </row>
    <row r="42">
      <c r="A42" s="19"/>
      <c r="B42" s="19"/>
      <c r="C42" s="19"/>
      <c r="D42" s="19"/>
      <c r="E42" s="19"/>
      <c r="F42" s="19"/>
    </row>
    <row r="43">
      <c r="A43" s="19"/>
      <c r="B43" s="19"/>
      <c r="C43" s="19"/>
      <c r="D43" s="19"/>
      <c r="E43" s="19"/>
      <c r="F43" s="19"/>
    </row>
    <row r="44">
      <c r="A44" s="19"/>
      <c r="B44" s="19"/>
      <c r="C44" s="19"/>
      <c r="D44" s="19"/>
      <c r="E44" s="19"/>
      <c r="F44" s="19"/>
    </row>
    <row r="45">
      <c r="A45" s="19"/>
      <c r="B45" s="19"/>
      <c r="C45" s="19"/>
      <c r="D45" s="19"/>
      <c r="E45" s="19"/>
      <c r="F45" s="19"/>
    </row>
    <row r="46">
      <c r="A46" s="299" t="s">
        <v>392</v>
      </c>
      <c r="B46" s="19"/>
      <c r="C46" s="19"/>
      <c r="D46" s="19"/>
      <c r="E46" s="19"/>
      <c r="F46" s="19"/>
    </row>
    <row r="47">
      <c r="A47" s="388" t="s">
        <v>393</v>
      </c>
      <c r="B47" s="58"/>
      <c r="C47" s="58"/>
      <c r="D47" s="58"/>
      <c r="E47" s="58"/>
      <c r="F47" s="58"/>
    </row>
    <row r="48">
      <c r="A48" s="98" t="s">
        <v>15</v>
      </c>
      <c r="B48" s="157"/>
      <c r="C48" s="99" t="s">
        <v>16</v>
      </c>
      <c r="D48" s="58"/>
      <c r="E48" s="325"/>
      <c r="F48" s="325"/>
    </row>
    <row r="49">
      <c r="A49" s="58" t="s">
        <v>320</v>
      </c>
      <c r="B49" s="58"/>
      <c r="C49" s="326">
        <v>10.0</v>
      </c>
      <c r="D49" s="389"/>
      <c r="E49" s="270"/>
      <c r="F49" s="270"/>
    </row>
    <row r="50">
      <c r="A50" s="58"/>
      <c r="B50" s="58"/>
      <c r="C50" s="230"/>
      <c r="D50" s="58"/>
      <c r="E50" s="58"/>
      <c r="F50" s="58"/>
    </row>
    <row r="51">
      <c r="A51" s="390" t="s">
        <v>321</v>
      </c>
      <c r="B51" s="58"/>
      <c r="C51" s="58"/>
      <c r="D51" s="58"/>
      <c r="E51" s="58"/>
      <c r="F51" s="58"/>
    </row>
    <row r="52">
      <c r="A52" s="98" t="s">
        <v>15</v>
      </c>
      <c r="B52" s="157"/>
      <c r="C52" s="99" t="s">
        <v>16</v>
      </c>
      <c r="D52" s="58"/>
      <c r="E52" s="325"/>
      <c r="F52" s="325"/>
    </row>
    <row r="53">
      <c r="A53" s="58" t="s">
        <v>322</v>
      </c>
      <c r="B53" s="58"/>
      <c r="C53" s="91">
        <v>0.05</v>
      </c>
      <c r="D53" s="58"/>
      <c r="E53" s="270"/>
      <c r="F53" s="270"/>
    </row>
    <row r="54">
      <c r="A54" s="58" t="s">
        <v>323</v>
      </c>
      <c r="B54" s="58"/>
      <c r="C54" s="91">
        <v>2.0</v>
      </c>
      <c r="D54" s="58"/>
      <c r="E54" s="270"/>
      <c r="F54" s="270"/>
    </row>
    <row r="55">
      <c r="A55" s="58" t="s">
        <v>324</v>
      </c>
      <c r="B55" s="58"/>
      <c r="C55" s="91">
        <v>0.01</v>
      </c>
      <c r="D55" s="58"/>
      <c r="E55" s="270"/>
      <c r="F55" s="270"/>
    </row>
    <row r="56">
      <c r="A56" s="58" t="s">
        <v>271</v>
      </c>
      <c r="B56" s="58"/>
      <c r="C56" s="327">
        <v>0.1</v>
      </c>
      <c r="D56" s="58"/>
      <c r="E56" s="270"/>
      <c r="F56" s="270"/>
    </row>
    <row r="57">
      <c r="A57" s="57" t="s">
        <v>158</v>
      </c>
      <c r="B57" s="58"/>
      <c r="C57" s="326">
        <v>1.0</v>
      </c>
      <c r="D57" s="58"/>
      <c r="E57" s="270"/>
      <c r="F57" s="270"/>
    </row>
    <row r="58">
      <c r="A58" s="57" t="s">
        <v>325</v>
      </c>
      <c r="B58" s="58"/>
      <c r="C58" s="58"/>
      <c r="D58" s="58"/>
      <c r="E58" s="58"/>
      <c r="F58" s="58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391" t="s">
        <v>394</v>
      </c>
      <c r="B62" s="308"/>
      <c r="C62" s="308"/>
      <c r="D62" s="308"/>
      <c r="E62" s="308"/>
      <c r="F62" s="308"/>
    </row>
    <row r="63">
      <c r="A63" s="304" t="s">
        <v>15</v>
      </c>
      <c r="B63" s="331"/>
      <c r="C63" s="332"/>
      <c r="D63" s="331"/>
      <c r="E63" s="392" t="s">
        <v>327</v>
      </c>
      <c r="F63" s="308"/>
    </row>
    <row r="64">
      <c r="A64" s="308" t="s">
        <v>395</v>
      </c>
      <c r="B64" s="335"/>
      <c r="C64" s="334" t="s">
        <v>296</v>
      </c>
      <c r="D64" s="308"/>
      <c r="E64" s="50" t="b">
        <v>0</v>
      </c>
      <c r="F64" s="308"/>
    </row>
    <row r="65">
      <c r="A65" s="308" t="s">
        <v>295</v>
      </c>
      <c r="B65" s="336"/>
      <c r="C65" s="334" t="s">
        <v>296</v>
      </c>
      <c r="D65" s="308"/>
      <c r="E65" s="50" t="b">
        <v>0</v>
      </c>
      <c r="F65" s="308"/>
    </row>
    <row r="66">
      <c r="A66" s="308"/>
      <c r="B66" s="308"/>
      <c r="C66" s="310"/>
      <c r="D66" s="308"/>
      <c r="E66" s="337"/>
      <c r="F66" s="308"/>
    </row>
    <row r="67">
      <c r="A67" s="233" t="s">
        <v>329</v>
      </c>
      <c r="B67" s="82"/>
      <c r="C67" s="82"/>
      <c r="D67" s="82"/>
      <c r="E67" s="82"/>
      <c r="F67" s="82"/>
    </row>
    <row r="68">
      <c r="A68" s="256" t="s">
        <v>330</v>
      </c>
      <c r="B68" s="82"/>
      <c r="C68" s="234"/>
      <c r="D68" s="82"/>
      <c r="E68" s="82"/>
      <c r="F68" s="82"/>
    </row>
    <row r="69">
      <c r="A69" s="82"/>
      <c r="B69" s="82"/>
      <c r="C69" s="82"/>
      <c r="D69" s="82"/>
      <c r="E69" s="82"/>
      <c r="F69" s="82"/>
    </row>
    <row r="70">
      <c r="A70" s="82"/>
      <c r="B70" s="82"/>
      <c r="C70" s="82"/>
      <c r="D70" s="82"/>
      <c r="E70" s="82"/>
      <c r="F70" s="82"/>
    </row>
    <row r="71">
      <c r="A71" s="264" t="s">
        <v>331</v>
      </c>
      <c r="B71" s="82"/>
      <c r="C71" s="82"/>
      <c r="D71" s="82"/>
      <c r="E71" s="82"/>
      <c r="F71" s="8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316" t="s">
        <v>332</v>
      </c>
    </row>
    <row r="76">
      <c r="A76" s="95" t="s">
        <v>305</v>
      </c>
      <c r="B76" s="58"/>
      <c r="C76" s="58"/>
      <c r="D76" s="58"/>
      <c r="E76" s="58"/>
      <c r="F76" s="58"/>
    </row>
    <row r="77">
      <c r="A77" s="112" t="s">
        <v>333</v>
      </c>
    </row>
  </sheetData>
  <mergeCells count="31">
    <mergeCell ref="A1:F1"/>
    <mergeCell ref="B5:C5"/>
    <mergeCell ref="A6:A8"/>
    <mergeCell ref="B6:C6"/>
    <mergeCell ref="D6:D8"/>
    <mergeCell ref="E6:E8"/>
    <mergeCell ref="F6:F8"/>
    <mergeCell ref="B7:C7"/>
    <mergeCell ref="B8:C8"/>
    <mergeCell ref="A9:A11"/>
    <mergeCell ref="B9:C9"/>
    <mergeCell ref="D9:D11"/>
    <mergeCell ref="E9:E11"/>
    <mergeCell ref="F9:F11"/>
    <mergeCell ref="A12:A13"/>
    <mergeCell ref="A14:A16"/>
    <mergeCell ref="D12:D13"/>
    <mergeCell ref="D14:D16"/>
    <mergeCell ref="E14:E16"/>
    <mergeCell ref="F14:F16"/>
    <mergeCell ref="B15:C15"/>
    <mergeCell ref="B16:C16"/>
    <mergeCell ref="A74:F75"/>
    <mergeCell ref="A77:F77"/>
    <mergeCell ref="B10:C10"/>
    <mergeCell ref="B11:C11"/>
    <mergeCell ref="B12:C12"/>
    <mergeCell ref="E12:E13"/>
    <mergeCell ref="F12:F13"/>
    <mergeCell ref="B13:C13"/>
    <mergeCell ref="B14:C1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396</v>
      </c>
    </row>
    <row r="2">
      <c r="A2" s="1"/>
    </row>
    <row r="3">
      <c r="A3" s="393" t="s">
        <v>33</v>
      </c>
      <c r="B3" s="243" t="s">
        <v>260</v>
      </c>
      <c r="C3" s="244"/>
      <c r="D3" s="363"/>
      <c r="E3" s="363"/>
      <c r="F3" s="363"/>
    </row>
    <row r="4">
      <c r="A4" s="366"/>
      <c r="B4" s="246" t="s">
        <v>315</v>
      </c>
      <c r="C4" s="14"/>
      <c r="D4" s="25"/>
      <c r="E4" s="25"/>
      <c r="F4" s="25"/>
    </row>
    <row r="5">
      <c r="A5" s="367"/>
      <c r="B5" s="394"/>
      <c r="C5" s="21"/>
      <c r="D5" s="27"/>
      <c r="E5" s="27"/>
      <c r="F5" s="27"/>
    </row>
    <row r="6">
      <c r="A6" s="395" t="s">
        <v>36</v>
      </c>
      <c r="B6" s="250" t="s">
        <v>263</v>
      </c>
      <c r="C6" s="14"/>
      <c r="D6" s="24"/>
      <c r="E6" s="24"/>
      <c r="F6" s="24"/>
    </row>
    <row r="7">
      <c r="A7" s="366"/>
      <c r="B7" s="250" t="s">
        <v>262</v>
      </c>
      <c r="C7" s="14"/>
      <c r="D7" s="14"/>
      <c r="E7" s="14"/>
      <c r="F7" s="14"/>
    </row>
    <row r="8">
      <c r="A8" s="366"/>
      <c r="B8" s="250" t="s">
        <v>264</v>
      </c>
      <c r="C8" s="14"/>
      <c r="D8" s="14"/>
      <c r="E8" s="14"/>
      <c r="F8" s="14"/>
    </row>
    <row r="9">
      <c r="A9" s="367"/>
      <c r="B9" s="251" t="s">
        <v>397</v>
      </c>
      <c r="C9" s="21"/>
      <c r="D9" s="21"/>
      <c r="E9" s="21"/>
      <c r="F9" s="21"/>
    </row>
    <row r="10">
      <c r="A10" s="282" t="s">
        <v>9</v>
      </c>
      <c r="B10" s="283" t="s">
        <v>265</v>
      </c>
      <c r="C10" s="14"/>
      <c r="D10" s="284"/>
      <c r="E10" s="284"/>
      <c r="F10" s="284"/>
    </row>
    <row r="11">
      <c r="A11" s="27"/>
      <c r="B11" s="285" t="s">
        <v>266</v>
      </c>
      <c r="C11" s="21"/>
      <c r="D11" s="21"/>
      <c r="E11" s="21"/>
      <c r="F11" s="21"/>
    </row>
    <row r="12">
      <c r="A12" s="286" t="s">
        <v>11</v>
      </c>
      <c r="B12" s="383"/>
      <c r="C12" s="14"/>
      <c r="D12" s="32"/>
      <c r="E12" s="32"/>
      <c r="F12" s="32"/>
    </row>
    <row r="13">
      <c r="A13" s="25"/>
      <c r="B13" s="396" t="s">
        <v>11</v>
      </c>
      <c r="C13" s="14"/>
      <c r="D13" s="14"/>
      <c r="E13" s="14"/>
      <c r="F13" s="14"/>
    </row>
    <row r="14">
      <c r="A14" s="27"/>
      <c r="B14" s="397"/>
      <c r="C14" s="21"/>
      <c r="D14" s="21"/>
      <c r="E14" s="21"/>
      <c r="F14" s="21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319" t="s">
        <v>398</v>
      </c>
      <c r="B17" s="2"/>
      <c r="C17" s="2"/>
      <c r="D17" s="2"/>
      <c r="E17" s="2"/>
      <c r="F17" s="2"/>
    </row>
    <row r="18">
      <c r="A18" s="126" t="s">
        <v>15</v>
      </c>
      <c r="B18" s="35"/>
      <c r="C18" s="320" t="s">
        <v>16</v>
      </c>
      <c r="D18" s="35"/>
      <c r="E18" s="35"/>
      <c r="F18" s="35"/>
    </row>
    <row r="19">
      <c r="A19" s="219" t="s">
        <v>270</v>
      </c>
      <c r="B19" s="35"/>
      <c r="C19" s="321">
        <v>100.0</v>
      </c>
      <c r="D19" s="35"/>
      <c r="E19" s="50" t="b">
        <v>0</v>
      </c>
      <c r="F19" s="35"/>
    </row>
    <row r="20">
      <c r="A20" s="35" t="s">
        <v>271</v>
      </c>
      <c r="B20" s="35"/>
      <c r="C20" s="291">
        <v>0.025</v>
      </c>
      <c r="D20" s="35"/>
      <c r="E20" s="50" t="b">
        <v>0</v>
      </c>
      <c r="F20" s="35"/>
    </row>
    <row r="21">
      <c r="A21" s="225" t="s">
        <v>399</v>
      </c>
      <c r="B21" s="35"/>
      <c r="C21" s="291">
        <v>0.025</v>
      </c>
      <c r="D21" s="35"/>
      <c r="E21" s="50" t="b">
        <v>0</v>
      </c>
      <c r="F21" s="35"/>
    </row>
    <row r="22">
      <c r="A22" s="37" t="s">
        <v>273</v>
      </c>
      <c r="B22" s="35"/>
      <c r="C22" s="321">
        <v>100.0</v>
      </c>
      <c r="D22" s="35"/>
      <c r="E22" s="50" t="b">
        <v>0</v>
      </c>
      <c r="F22" s="35"/>
    </row>
    <row r="23">
      <c r="A23" s="35" t="s">
        <v>271</v>
      </c>
      <c r="B23" s="35"/>
      <c r="C23" s="291">
        <v>0.025</v>
      </c>
      <c r="D23" s="35"/>
      <c r="E23" s="50" t="b">
        <v>0</v>
      </c>
      <c r="F23" s="35"/>
    </row>
    <row r="24">
      <c r="A24" s="225" t="s">
        <v>399</v>
      </c>
      <c r="B24" s="35"/>
      <c r="C24" s="291">
        <v>0.025</v>
      </c>
      <c r="D24" s="35"/>
      <c r="E24" s="50" t="b">
        <v>0</v>
      </c>
      <c r="F24" s="35"/>
    </row>
    <row r="25">
      <c r="A25" s="35"/>
      <c r="B25" s="35"/>
      <c r="C25" s="398">
        <f>sum(C19:C24)</f>
        <v>200.1</v>
      </c>
      <c r="D25" s="35"/>
      <c r="E25" s="35"/>
      <c r="F25" s="35"/>
    </row>
    <row r="26">
      <c r="A26" s="2"/>
      <c r="B26" s="2"/>
      <c r="C26" s="2"/>
      <c r="D26" s="2"/>
      <c r="E26" s="2"/>
      <c r="F26" s="2"/>
    </row>
    <row r="27">
      <c r="A27" s="399" t="s">
        <v>400</v>
      </c>
      <c r="B27" s="2"/>
      <c r="C27" s="2"/>
      <c r="D27" s="2"/>
      <c r="E27" s="2"/>
      <c r="F27" s="2"/>
    </row>
    <row r="28">
      <c r="A28" s="86" t="s">
        <v>401</v>
      </c>
      <c r="B28" s="19"/>
      <c r="C28" s="19"/>
      <c r="D28" s="19"/>
      <c r="E28" s="19"/>
      <c r="F28" s="19"/>
    </row>
    <row r="29">
      <c r="A29" s="400" t="s">
        <v>402</v>
      </c>
      <c r="B29" s="19"/>
      <c r="C29" s="19"/>
      <c r="D29" s="19"/>
      <c r="E29" s="19"/>
      <c r="F29" s="19"/>
    </row>
    <row r="30">
      <c r="A30" s="45" t="s">
        <v>15</v>
      </c>
      <c r="B30" s="118"/>
      <c r="C30" s="76" t="s">
        <v>16</v>
      </c>
      <c r="D30" s="35"/>
      <c r="E30" s="78" t="s">
        <v>403</v>
      </c>
      <c r="F30" s="35"/>
    </row>
    <row r="31">
      <c r="A31" s="35" t="s">
        <v>404</v>
      </c>
      <c r="B31" s="35"/>
      <c r="C31" s="79">
        <v>1.6</v>
      </c>
      <c r="D31" s="35"/>
      <c r="E31" s="50" t="b">
        <v>0</v>
      </c>
      <c r="F31" s="35"/>
    </row>
    <row r="32">
      <c r="A32" s="225" t="s">
        <v>405</v>
      </c>
      <c r="B32" s="35"/>
      <c r="C32" s="79">
        <v>8.0</v>
      </c>
      <c r="D32" s="35"/>
      <c r="E32" s="50" t="b">
        <v>0</v>
      </c>
      <c r="F32" s="35"/>
    </row>
    <row r="33">
      <c r="A33" s="35" t="s">
        <v>109</v>
      </c>
      <c r="B33" s="35"/>
      <c r="C33" s="79">
        <v>0.2</v>
      </c>
      <c r="D33" s="35"/>
      <c r="E33" s="50" t="b">
        <v>0</v>
      </c>
      <c r="F33" s="35"/>
    </row>
    <row r="34">
      <c r="A34" s="35" t="s">
        <v>282</v>
      </c>
      <c r="B34" s="35"/>
      <c r="C34" s="79">
        <v>0.2</v>
      </c>
      <c r="D34" s="35"/>
      <c r="E34" s="50" t="b">
        <v>0</v>
      </c>
      <c r="F34" s="35"/>
    </row>
    <row r="35">
      <c r="A35" s="35"/>
      <c r="B35" s="35"/>
      <c r="C35" s="35"/>
      <c r="D35" s="35"/>
      <c r="E35" s="35"/>
      <c r="F35" s="35"/>
    </row>
    <row r="36">
      <c r="A36" s="111"/>
      <c r="B36" s="111"/>
      <c r="C36" s="111"/>
      <c r="D36" s="111"/>
      <c r="E36" s="111"/>
      <c r="F36" s="82"/>
    </row>
    <row r="37">
      <c r="A37" s="111"/>
      <c r="B37" s="111"/>
      <c r="C37" s="111"/>
      <c r="D37" s="111"/>
      <c r="E37" s="111"/>
      <c r="F37" s="8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95" t="s">
        <v>406</v>
      </c>
      <c r="B40" s="58"/>
      <c r="C40" s="58"/>
      <c r="D40" s="93"/>
      <c r="E40" s="58"/>
      <c r="F40" s="58"/>
    </row>
    <row r="41">
      <c r="A41" s="98" t="s">
        <v>15</v>
      </c>
      <c r="B41" s="157"/>
      <c r="C41" s="99" t="s">
        <v>16</v>
      </c>
      <c r="D41" s="58"/>
      <c r="E41" s="300" t="s">
        <v>407</v>
      </c>
      <c r="F41" s="58"/>
    </row>
    <row r="42">
      <c r="A42" s="58" t="s">
        <v>408</v>
      </c>
      <c r="B42" s="58"/>
      <c r="C42" s="134">
        <v>6.0</v>
      </c>
      <c r="D42" s="58"/>
      <c r="E42" s="50" t="b">
        <v>0</v>
      </c>
      <c r="F42" s="58"/>
    </row>
    <row r="43">
      <c r="A43" s="136" t="s">
        <v>409</v>
      </c>
    </row>
    <row r="45">
      <c r="A45" s="95" t="s">
        <v>410</v>
      </c>
      <c r="B45" s="58"/>
      <c r="C45" s="58"/>
      <c r="D45" s="58"/>
      <c r="E45" s="58"/>
      <c r="F45" s="58"/>
    </row>
    <row r="46">
      <c r="A46" s="90" t="s">
        <v>411</v>
      </c>
      <c r="B46" s="58"/>
      <c r="C46" s="401"/>
      <c r="D46" s="58"/>
      <c r="E46" s="58"/>
      <c r="F46" s="58"/>
    </row>
    <row r="47">
      <c r="A47" s="98" t="s">
        <v>15</v>
      </c>
      <c r="B47" s="157"/>
      <c r="C47" s="99" t="s">
        <v>16</v>
      </c>
      <c r="D47" s="58"/>
      <c r="E47" s="300" t="s">
        <v>198</v>
      </c>
      <c r="F47" s="58"/>
    </row>
    <row r="48">
      <c r="A48" s="58" t="s">
        <v>285</v>
      </c>
      <c r="B48" s="58"/>
      <c r="C48" s="91">
        <v>1.0</v>
      </c>
      <c r="D48" s="102" t="s">
        <v>412</v>
      </c>
      <c r="E48" s="50" t="b">
        <v>0</v>
      </c>
      <c r="F48" s="58"/>
    </row>
    <row r="49">
      <c r="A49" s="58" t="s">
        <v>413</v>
      </c>
      <c r="B49" s="58"/>
      <c r="C49" s="91">
        <v>0.5</v>
      </c>
      <c r="D49" s="102" t="s">
        <v>412</v>
      </c>
      <c r="E49" s="50" t="b">
        <v>0</v>
      </c>
      <c r="F49" s="58"/>
    </row>
    <row r="50">
      <c r="A50" s="95" t="s">
        <v>414</v>
      </c>
      <c r="B50" s="58"/>
      <c r="C50" s="58"/>
      <c r="D50" s="58"/>
      <c r="E50" s="58"/>
      <c r="F50" s="58"/>
    </row>
    <row r="51">
      <c r="A51" s="96" t="s">
        <v>415</v>
      </c>
    </row>
    <row r="52">
      <c r="A52" s="402" t="s">
        <v>416</v>
      </c>
      <c r="B52" s="58"/>
      <c r="C52" s="58"/>
      <c r="D52" s="58"/>
      <c r="E52" s="58"/>
      <c r="F52" s="58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330" t="s">
        <v>417</v>
      </c>
      <c r="B56" s="308"/>
      <c r="C56" s="308"/>
      <c r="D56" s="308"/>
      <c r="E56" s="308"/>
      <c r="F56" s="308"/>
    </row>
    <row r="57">
      <c r="A57" s="304" t="s">
        <v>15</v>
      </c>
      <c r="B57" s="331"/>
      <c r="C57" s="403" t="s">
        <v>16</v>
      </c>
      <c r="D57" s="308"/>
      <c r="E57" s="334" t="s">
        <v>418</v>
      </c>
      <c r="F57" s="308"/>
    </row>
    <row r="58">
      <c r="A58" s="308" t="s">
        <v>295</v>
      </c>
      <c r="B58" s="336"/>
      <c r="C58" s="335" t="s">
        <v>419</v>
      </c>
      <c r="D58" s="308"/>
      <c r="E58" s="50" t="b">
        <v>0</v>
      </c>
      <c r="F58" s="308"/>
    </row>
    <row r="59">
      <c r="A59" s="308" t="s">
        <v>297</v>
      </c>
      <c r="B59" s="336"/>
      <c r="C59" s="335" t="s">
        <v>419</v>
      </c>
      <c r="D59" s="308"/>
      <c r="E59" s="50" t="b">
        <v>0</v>
      </c>
      <c r="F59" s="308"/>
    </row>
    <row r="60">
      <c r="A60" s="308" t="s">
        <v>298</v>
      </c>
      <c r="B60" s="308"/>
      <c r="C60" s="310">
        <v>3.0</v>
      </c>
      <c r="D60" s="308"/>
      <c r="E60" s="50" t="b">
        <v>0</v>
      </c>
      <c r="F60" s="308"/>
    </row>
    <row r="61">
      <c r="A61" s="308" t="s">
        <v>299</v>
      </c>
      <c r="B61" s="308"/>
      <c r="C61" s="310">
        <v>10.0</v>
      </c>
      <c r="D61" s="308"/>
      <c r="E61" s="50" t="b">
        <v>0</v>
      </c>
      <c r="F61" s="308"/>
    </row>
    <row r="62">
      <c r="A62" s="311" t="s">
        <v>420</v>
      </c>
      <c r="B62" s="308"/>
      <c r="C62" s="308"/>
      <c r="D62" s="308"/>
      <c r="E62" s="308"/>
      <c r="F62" s="308"/>
    </row>
    <row r="63">
      <c r="A63" s="404" t="s">
        <v>421</v>
      </c>
      <c r="B63" s="308"/>
      <c r="C63" s="308"/>
      <c r="D63" s="308"/>
      <c r="E63" s="308"/>
      <c r="F63" s="308"/>
    </row>
    <row r="64">
      <c r="A64" s="315" t="s">
        <v>422</v>
      </c>
      <c r="B64" s="308"/>
      <c r="C64" s="308"/>
      <c r="D64" s="308"/>
      <c r="E64" s="308"/>
      <c r="F64" s="308"/>
    </row>
    <row r="65">
      <c r="A65" s="308"/>
      <c r="B65" s="308"/>
      <c r="C65" s="308"/>
      <c r="D65" s="308"/>
      <c r="E65" s="308"/>
      <c r="F65" s="308"/>
    </row>
    <row r="66">
      <c r="A66" s="405" t="s">
        <v>423</v>
      </c>
      <c r="E66" s="334" t="s">
        <v>327</v>
      </c>
      <c r="F66" s="308"/>
    </row>
    <row r="67">
      <c r="E67" s="50" t="b">
        <v>0</v>
      </c>
      <c r="F67" s="308"/>
    </row>
    <row r="68">
      <c r="A68" s="308"/>
      <c r="B68" s="308"/>
      <c r="C68" s="308"/>
      <c r="D68" s="308"/>
      <c r="E68" s="308"/>
      <c r="F68" s="308"/>
    </row>
    <row r="69">
      <c r="A69" s="2"/>
      <c r="B69" s="2"/>
      <c r="C69" s="2"/>
      <c r="D69" s="2"/>
      <c r="E69" s="2"/>
      <c r="F69" s="2"/>
    </row>
    <row r="70">
      <c r="A70" s="406" t="s">
        <v>424</v>
      </c>
    </row>
    <row r="72">
      <c r="A72" s="95" t="s">
        <v>425</v>
      </c>
      <c r="B72" s="58"/>
      <c r="C72" s="58"/>
      <c r="D72" s="58"/>
      <c r="E72" s="58"/>
      <c r="F72" s="58"/>
    </row>
    <row r="73">
      <c r="A73" s="19"/>
      <c r="B73" s="19"/>
      <c r="C73" s="19"/>
      <c r="D73" s="19"/>
      <c r="E73" s="19"/>
      <c r="F73" s="19"/>
    </row>
    <row r="74">
      <c r="A74" s="112" t="s">
        <v>333</v>
      </c>
    </row>
  </sheetData>
  <mergeCells count="35">
    <mergeCell ref="A1:F1"/>
    <mergeCell ref="A2:F2"/>
    <mergeCell ref="A3:A5"/>
    <mergeCell ref="B3:C3"/>
    <mergeCell ref="D3:D5"/>
    <mergeCell ref="E3:E5"/>
    <mergeCell ref="F3:F5"/>
    <mergeCell ref="B4:C4"/>
    <mergeCell ref="B5:C5"/>
    <mergeCell ref="A6:A9"/>
    <mergeCell ref="B6:C6"/>
    <mergeCell ref="D6:D9"/>
    <mergeCell ref="E6:E9"/>
    <mergeCell ref="F6:F9"/>
    <mergeCell ref="B9:C9"/>
    <mergeCell ref="A10:A11"/>
    <mergeCell ref="A12:A14"/>
    <mergeCell ref="D10:D11"/>
    <mergeCell ref="D12:D14"/>
    <mergeCell ref="E12:E14"/>
    <mergeCell ref="F12:F14"/>
    <mergeCell ref="B13:C13"/>
    <mergeCell ref="B14:C14"/>
    <mergeCell ref="A43:F44"/>
    <mergeCell ref="A51:F51"/>
    <mergeCell ref="A66:D67"/>
    <mergeCell ref="A70:F71"/>
    <mergeCell ref="A74:F74"/>
    <mergeCell ref="B7:C7"/>
    <mergeCell ref="B8:C8"/>
    <mergeCell ref="B10:C10"/>
    <mergeCell ref="E10:E11"/>
    <mergeCell ref="F10:F11"/>
    <mergeCell ref="B11:C11"/>
    <mergeCell ref="B12:C1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396</v>
      </c>
    </row>
    <row r="2">
      <c r="A2" s="1"/>
    </row>
    <row r="3">
      <c r="A3" s="279" t="s">
        <v>33</v>
      </c>
      <c r="B3" s="243" t="s">
        <v>260</v>
      </c>
      <c r="C3" s="244"/>
      <c r="D3" s="363"/>
      <c r="E3" s="280"/>
      <c r="F3" s="280"/>
    </row>
    <row r="4">
      <c r="A4" s="25"/>
      <c r="B4" s="246" t="s">
        <v>315</v>
      </c>
      <c r="C4" s="14"/>
      <c r="D4" s="25"/>
      <c r="E4" s="14"/>
      <c r="F4" s="14"/>
    </row>
    <row r="5">
      <c r="A5" s="27"/>
      <c r="B5" s="394"/>
      <c r="C5" s="21"/>
      <c r="D5" s="27"/>
      <c r="E5" s="21"/>
      <c r="F5" s="21"/>
    </row>
    <row r="6">
      <c r="A6" s="395" t="s">
        <v>36</v>
      </c>
      <c r="B6" s="249" t="s">
        <v>263</v>
      </c>
      <c r="C6" s="244"/>
      <c r="D6" s="24"/>
      <c r="E6" s="24"/>
      <c r="F6" s="24"/>
    </row>
    <row r="7">
      <c r="A7" s="366"/>
      <c r="B7" s="250" t="s">
        <v>262</v>
      </c>
      <c r="C7" s="14"/>
      <c r="D7" s="14"/>
      <c r="E7" s="14"/>
      <c r="F7" s="14"/>
    </row>
    <row r="8">
      <c r="A8" s="366"/>
      <c r="B8" s="250" t="s">
        <v>264</v>
      </c>
      <c r="C8" s="14"/>
      <c r="D8" s="14"/>
      <c r="E8" s="14"/>
      <c r="F8" s="14"/>
    </row>
    <row r="9">
      <c r="A9" s="367"/>
      <c r="B9" s="251" t="s">
        <v>397</v>
      </c>
      <c r="C9" s="21"/>
      <c r="D9" s="21"/>
      <c r="E9" s="21"/>
      <c r="F9" s="21"/>
    </row>
    <row r="10">
      <c r="A10" s="282" t="s">
        <v>9</v>
      </c>
      <c r="B10" s="407" t="s">
        <v>265</v>
      </c>
      <c r="C10" s="244"/>
      <c r="D10" s="284"/>
      <c r="E10" s="284"/>
      <c r="F10" s="284"/>
    </row>
    <row r="11">
      <c r="A11" s="27"/>
      <c r="B11" s="408" t="s">
        <v>266</v>
      </c>
      <c r="C11" s="21"/>
      <c r="D11" s="21"/>
      <c r="E11" s="21"/>
      <c r="F11" s="21"/>
    </row>
    <row r="12">
      <c r="A12" s="286" t="s">
        <v>11</v>
      </c>
      <c r="B12" s="409" t="s">
        <v>11</v>
      </c>
      <c r="C12" s="244"/>
      <c r="D12" s="32"/>
      <c r="E12" s="32"/>
      <c r="F12" s="32"/>
    </row>
    <row r="13">
      <c r="A13" s="25"/>
      <c r="B13" s="366"/>
      <c r="C13" s="14"/>
      <c r="D13" s="14"/>
      <c r="E13" s="14"/>
      <c r="F13" s="14"/>
    </row>
    <row r="14">
      <c r="A14" s="27"/>
      <c r="B14" s="367"/>
      <c r="C14" s="21"/>
      <c r="D14" s="21"/>
      <c r="E14" s="21"/>
      <c r="F14" s="21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319" t="s">
        <v>426</v>
      </c>
      <c r="B17" s="2"/>
      <c r="C17" s="2"/>
      <c r="D17" s="2"/>
      <c r="E17" s="2"/>
      <c r="F17" s="2"/>
    </row>
    <row r="18">
      <c r="A18" s="126" t="s">
        <v>15</v>
      </c>
      <c r="B18" s="35"/>
      <c r="C18" s="320" t="s">
        <v>16</v>
      </c>
      <c r="D18" s="35"/>
      <c r="E18" s="35"/>
      <c r="F18" s="35"/>
      <c r="G18" s="410">
        <f>sum(C19:C24)</f>
        <v>200.1</v>
      </c>
    </row>
    <row r="19">
      <c r="A19" s="219" t="s">
        <v>270</v>
      </c>
      <c r="B19" s="35"/>
      <c r="C19" s="321">
        <v>100.0</v>
      </c>
      <c r="D19" s="35"/>
      <c r="E19" s="50" t="b">
        <v>0</v>
      </c>
      <c r="F19" s="35"/>
    </row>
    <row r="20">
      <c r="A20" s="35" t="s">
        <v>271</v>
      </c>
      <c r="B20" s="35"/>
      <c r="C20" s="291">
        <v>0.025</v>
      </c>
      <c r="D20" s="35"/>
      <c r="E20" s="50" t="b">
        <v>0</v>
      </c>
      <c r="F20" s="35"/>
    </row>
    <row r="21">
      <c r="A21" s="225" t="s">
        <v>399</v>
      </c>
      <c r="B21" s="35"/>
      <c r="C21" s="291">
        <v>0.025</v>
      </c>
      <c r="D21" s="35"/>
      <c r="E21" s="50" t="b">
        <v>0</v>
      </c>
      <c r="F21" s="35"/>
    </row>
    <row r="22">
      <c r="A22" s="37" t="s">
        <v>273</v>
      </c>
      <c r="B22" s="35"/>
      <c r="C22" s="321">
        <v>100.0</v>
      </c>
      <c r="D22" s="35"/>
      <c r="E22" s="50" t="b">
        <v>0</v>
      </c>
      <c r="F22" s="35"/>
    </row>
    <row r="23">
      <c r="A23" s="35" t="s">
        <v>271</v>
      </c>
      <c r="B23" s="35"/>
      <c r="C23" s="291">
        <v>0.025</v>
      </c>
      <c r="D23" s="35"/>
      <c r="E23" s="50" t="b">
        <v>0</v>
      </c>
      <c r="F23" s="35"/>
    </row>
    <row r="24">
      <c r="A24" s="225" t="s">
        <v>399</v>
      </c>
      <c r="B24" s="35"/>
      <c r="C24" s="291">
        <v>0.025</v>
      </c>
      <c r="D24" s="35"/>
      <c r="E24" s="50" t="b">
        <v>0</v>
      </c>
      <c r="F24" s="35"/>
    </row>
    <row r="25">
      <c r="A25" s="35"/>
      <c r="B25" s="35"/>
      <c r="C25" s="35"/>
      <c r="D25" s="35"/>
      <c r="E25" s="35"/>
      <c r="F25" s="35"/>
    </row>
    <row r="26">
      <c r="A26" s="2"/>
      <c r="B26" s="2"/>
      <c r="C26" s="2"/>
      <c r="D26" s="2"/>
      <c r="E26" s="2"/>
      <c r="F26" s="2"/>
    </row>
    <row r="27">
      <c r="A27" s="399" t="s">
        <v>427</v>
      </c>
      <c r="B27" s="2"/>
      <c r="C27" s="2"/>
      <c r="D27" s="2"/>
      <c r="E27" s="2"/>
      <c r="F27" s="2"/>
    </row>
    <row r="28">
      <c r="A28" s="86" t="s">
        <v>401</v>
      </c>
      <c r="B28" s="19"/>
      <c r="C28" s="19"/>
      <c r="D28" s="19"/>
      <c r="E28" s="19"/>
      <c r="F28" s="19"/>
    </row>
    <row r="29">
      <c r="A29" s="400" t="s">
        <v>402</v>
      </c>
      <c r="B29" s="19"/>
      <c r="C29" s="19"/>
      <c r="D29" s="19"/>
      <c r="E29" s="19"/>
      <c r="F29" s="19"/>
    </row>
    <row r="30">
      <c r="A30" s="45" t="s">
        <v>15</v>
      </c>
      <c r="B30" s="118"/>
      <c r="C30" s="76" t="s">
        <v>16</v>
      </c>
      <c r="D30" s="35"/>
      <c r="E30" s="78" t="s">
        <v>403</v>
      </c>
      <c r="F30" s="35"/>
    </row>
    <row r="31">
      <c r="A31" s="35" t="s">
        <v>404</v>
      </c>
      <c r="B31" s="35"/>
      <c r="C31" s="79">
        <v>1.6</v>
      </c>
      <c r="D31" s="35"/>
      <c r="E31" s="50" t="b">
        <v>0</v>
      </c>
      <c r="F31" s="35"/>
      <c r="G31" s="347">
        <f t="shared" ref="G31:G34" si="1">C31*5</f>
        <v>8</v>
      </c>
    </row>
    <row r="32">
      <c r="A32" s="225" t="s">
        <v>405</v>
      </c>
      <c r="B32" s="35"/>
      <c r="C32" s="79">
        <v>8.0</v>
      </c>
      <c r="D32" s="35"/>
      <c r="E32" s="50" t="b">
        <v>0</v>
      </c>
      <c r="F32" s="35"/>
      <c r="G32" s="347">
        <f t="shared" si="1"/>
        <v>40</v>
      </c>
    </row>
    <row r="33">
      <c r="A33" s="35" t="s">
        <v>109</v>
      </c>
      <c r="B33" s="35"/>
      <c r="C33" s="79">
        <v>0.2</v>
      </c>
      <c r="D33" s="35"/>
      <c r="E33" s="50" t="b">
        <v>0</v>
      </c>
      <c r="F33" s="35"/>
      <c r="G33" s="347">
        <f t="shared" si="1"/>
        <v>1</v>
      </c>
    </row>
    <row r="34">
      <c r="A34" s="35" t="s">
        <v>282</v>
      </c>
      <c r="B34" s="35"/>
      <c r="C34" s="79">
        <v>0.2</v>
      </c>
      <c r="D34" s="35"/>
      <c r="E34" s="50" t="b">
        <v>0</v>
      </c>
      <c r="F34" s="35"/>
      <c r="G34" s="347">
        <f t="shared" si="1"/>
        <v>1</v>
      </c>
    </row>
    <row r="35">
      <c r="A35" s="35"/>
      <c r="B35" s="35"/>
      <c r="C35" s="35"/>
      <c r="D35" s="35"/>
      <c r="E35" s="35"/>
      <c r="F35" s="35"/>
      <c r="G35" s="347">
        <f>SUM(G31:G34)</f>
        <v>50</v>
      </c>
    </row>
    <row r="36">
      <c r="A36" s="111"/>
      <c r="B36" s="111"/>
      <c r="C36" s="111"/>
      <c r="D36" s="111"/>
      <c r="E36" s="111"/>
      <c r="F36" s="82"/>
    </row>
    <row r="37">
      <c r="A37" s="111"/>
      <c r="B37" s="111"/>
      <c r="C37" s="111"/>
      <c r="D37" s="111"/>
      <c r="E37" s="111"/>
      <c r="F37" s="8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95" t="s">
        <v>406</v>
      </c>
      <c r="B40" s="58"/>
      <c r="C40" s="58"/>
      <c r="D40" s="93"/>
      <c r="E40" s="58"/>
      <c r="F40" s="58"/>
    </row>
    <row r="41">
      <c r="A41" s="98" t="s">
        <v>15</v>
      </c>
      <c r="B41" s="157"/>
      <c r="C41" s="99" t="s">
        <v>16</v>
      </c>
      <c r="D41" s="58"/>
      <c r="E41" s="300" t="s">
        <v>407</v>
      </c>
      <c r="F41" s="58"/>
    </row>
    <row r="42">
      <c r="A42" s="58" t="s">
        <v>408</v>
      </c>
      <c r="B42" s="58"/>
      <c r="C42" s="134">
        <v>6.0</v>
      </c>
      <c r="D42" s="58"/>
      <c r="E42" s="50" t="b">
        <v>0</v>
      </c>
      <c r="F42" s="58"/>
      <c r="G42" s="114">
        <v>30.0</v>
      </c>
    </row>
    <row r="43">
      <c r="A43" s="136" t="s">
        <v>409</v>
      </c>
    </row>
    <row r="45">
      <c r="A45" s="95" t="s">
        <v>410</v>
      </c>
      <c r="B45" s="58"/>
      <c r="C45" s="58"/>
      <c r="D45" s="58"/>
      <c r="E45" s="58"/>
      <c r="F45" s="58"/>
    </row>
    <row r="46">
      <c r="A46" s="90" t="s">
        <v>411</v>
      </c>
      <c r="B46" s="58"/>
      <c r="C46" s="401"/>
      <c r="D46" s="58"/>
      <c r="E46" s="58"/>
      <c r="F46" s="58"/>
    </row>
    <row r="47">
      <c r="A47" s="98" t="s">
        <v>15</v>
      </c>
      <c r="B47" s="157"/>
      <c r="C47" s="99" t="s">
        <v>16</v>
      </c>
      <c r="D47" s="58"/>
      <c r="E47" s="300" t="s">
        <v>198</v>
      </c>
      <c r="F47" s="58"/>
    </row>
    <row r="48">
      <c r="A48" s="58" t="s">
        <v>285</v>
      </c>
      <c r="B48" s="58"/>
      <c r="C48" s="91">
        <v>1.0</v>
      </c>
      <c r="D48" s="102" t="s">
        <v>412</v>
      </c>
      <c r="E48" s="50" t="b">
        <v>0</v>
      </c>
      <c r="F48" s="58"/>
      <c r="G48" s="114">
        <v>5.0</v>
      </c>
    </row>
    <row r="49">
      <c r="A49" s="58" t="s">
        <v>413</v>
      </c>
      <c r="B49" s="58"/>
      <c r="C49" s="327">
        <v>0.5</v>
      </c>
      <c r="D49" s="102" t="s">
        <v>412</v>
      </c>
      <c r="E49" s="50" t="b">
        <v>0</v>
      </c>
      <c r="F49" s="58"/>
      <c r="G49" s="114">
        <v>2.5</v>
      </c>
    </row>
    <row r="50">
      <c r="A50" s="95" t="s">
        <v>414</v>
      </c>
      <c r="B50" s="58"/>
      <c r="C50" s="58"/>
      <c r="D50" s="58"/>
      <c r="E50" s="58"/>
      <c r="F50" s="58"/>
    </row>
    <row r="51">
      <c r="A51" s="96" t="s">
        <v>415</v>
      </c>
    </row>
    <row r="53">
      <c r="A53" s="402" t="s">
        <v>428</v>
      </c>
      <c r="B53" s="58"/>
      <c r="C53" s="58"/>
      <c r="D53" s="58"/>
      <c r="E53" s="58"/>
      <c r="F53" s="58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330" t="s">
        <v>429</v>
      </c>
      <c r="B57" s="308"/>
      <c r="C57" s="308"/>
      <c r="D57" s="308"/>
      <c r="E57" s="308"/>
      <c r="F57" s="308"/>
    </row>
    <row r="58">
      <c r="A58" s="304" t="s">
        <v>15</v>
      </c>
      <c r="B58" s="331"/>
      <c r="C58" s="403" t="s">
        <v>16</v>
      </c>
      <c r="D58" s="308"/>
      <c r="E58" s="334" t="s">
        <v>418</v>
      </c>
      <c r="F58" s="308"/>
    </row>
    <row r="59">
      <c r="A59" s="308" t="s">
        <v>295</v>
      </c>
      <c r="B59" s="336"/>
      <c r="C59" s="335" t="s">
        <v>419</v>
      </c>
      <c r="D59" s="308"/>
      <c r="E59" s="50" t="b">
        <v>0</v>
      </c>
      <c r="F59" s="308"/>
    </row>
    <row r="60">
      <c r="A60" s="308" t="s">
        <v>297</v>
      </c>
      <c r="B60" s="336"/>
      <c r="C60" s="335" t="s">
        <v>419</v>
      </c>
      <c r="D60" s="308"/>
      <c r="E60" s="50" t="b">
        <v>0</v>
      </c>
      <c r="F60" s="308"/>
      <c r="G60" s="114">
        <v>287.5</v>
      </c>
    </row>
    <row r="61">
      <c r="A61" s="308" t="s">
        <v>298</v>
      </c>
      <c r="B61" s="308"/>
      <c r="C61" s="310">
        <v>3.0</v>
      </c>
      <c r="D61" s="308"/>
      <c r="E61" s="50" t="b">
        <v>0</v>
      </c>
      <c r="F61" s="308"/>
      <c r="G61" s="114">
        <v>15.0</v>
      </c>
    </row>
    <row r="62">
      <c r="A62" s="308" t="s">
        <v>299</v>
      </c>
      <c r="B62" s="308"/>
      <c r="C62" s="310">
        <v>10.0</v>
      </c>
      <c r="D62" s="308"/>
      <c r="E62" s="50" t="b">
        <v>0</v>
      </c>
      <c r="F62" s="308"/>
      <c r="G62" s="114">
        <v>50.0</v>
      </c>
    </row>
    <row r="63">
      <c r="A63" s="308" t="s">
        <v>430</v>
      </c>
      <c r="B63" s="308"/>
      <c r="C63" s="310">
        <v>0.1</v>
      </c>
      <c r="D63" s="308"/>
      <c r="E63" s="50" t="b">
        <v>0</v>
      </c>
      <c r="F63" s="308"/>
      <c r="G63" s="114">
        <v>0.5</v>
      </c>
    </row>
    <row r="64">
      <c r="A64" s="311" t="s">
        <v>420</v>
      </c>
      <c r="B64" s="308"/>
      <c r="C64" s="308"/>
      <c r="D64" s="308"/>
      <c r="E64" s="308"/>
      <c r="F64" s="308"/>
    </row>
    <row r="65">
      <c r="A65" s="404" t="s">
        <v>421</v>
      </c>
      <c r="B65" s="308"/>
      <c r="C65" s="308"/>
      <c r="D65" s="308"/>
      <c r="E65" s="308"/>
      <c r="F65" s="308"/>
    </row>
    <row r="66">
      <c r="A66" s="315" t="s">
        <v>422</v>
      </c>
      <c r="B66" s="308"/>
      <c r="C66" s="308"/>
      <c r="D66" s="308"/>
      <c r="E66" s="308"/>
      <c r="F66" s="308"/>
      <c r="G66" s="347">
        <f>sum(G60:G63)</f>
        <v>353</v>
      </c>
    </row>
    <row r="67">
      <c r="A67" s="308"/>
      <c r="B67" s="308"/>
      <c r="C67" s="308"/>
      <c r="D67" s="308"/>
      <c r="E67" s="308"/>
      <c r="F67" s="308"/>
    </row>
    <row r="68">
      <c r="A68" s="405" t="s">
        <v>423</v>
      </c>
      <c r="E68" s="334" t="s">
        <v>327</v>
      </c>
      <c r="F68" s="308"/>
    </row>
    <row r="69">
      <c r="E69" s="50" t="b">
        <v>0</v>
      </c>
      <c r="F69" s="308"/>
    </row>
    <row r="70">
      <c r="A70" s="308"/>
      <c r="B70" s="308"/>
      <c r="C70" s="308"/>
      <c r="D70" s="308"/>
      <c r="E70" s="308"/>
      <c r="F70" s="308"/>
    </row>
    <row r="71">
      <c r="A71" s="2"/>
      <c r="B71" s="2"/>
      <c r="C71" s="51"/>
      <c r="D71" s="2"/>
      <c r="E71" s="2"/>
      <c r="F71" s="2"/>
    </row>
    <row r="72">
      <c r="A72" s="406" t="s">
        <v>431</v>
      </c>
    </row>
    <row r="74">
      <c r="A74" s="95" t="s">
        <v>425</v>
      </c>
      <c r="B74" s="58"/>
      <c r="C74" s="58"/>
      <c r="D74" s="58"/>
      <c r="E74" s="58"/>
      <c r="F74" s="58"/>
    </row>
    <row r="75">
      <c r="A75" s="19"/>
      <c r="B75" s="19"/>
      <c r="C75" s="19"/>
      <c r="D75" s="19"/>
      <c r="E75" s="19"/>
      <c r="F75" s="19"/>
    </row>
    <row r="76">
      <c r="A76" s="112" t="s">
        <v>333</v>
      </c>
    </row>
  </sheetData>
  <mergeCells count="33">
    <mergeCell ref="A1:F1"/>
    <mergeCell ref="A2:F2"/>
    <mergeCell ref="A3:A5"/>
    <mergeCell ref="B3:C3"/>
    <mergeCell ref="D3:D5"/>
    <mergeCell ref="E3:E5"/>
    <mergeCell ref="F3:F5"/>
    <mergeCell ref="B4:C4"/>
    <mergeCell ref="B5:C5"/>
    <mergeCell ref="A6:A9"/>
    <mergeCell ref="B6:C6"/>
    <mergeCell ref="D6:D9"/>
    <mergeCell ref="E6:E9"/>
    <mergeCell ref="F6:F9"/>
    <mergeCell ref="B9:C9"/>
    <mergeCell ref="B7:C7"/>
    <mergeCell ref="B8:C8"/>
    <mergeCell ref="B10:C10"/>
    <mergeCell ref="D10:D11"/>
    <mergeCell ref="E10:E11"/>
    <mergeCell ref="F10:F11"/>
    <mergeCell ref="B11:C11"/>
    <mergeCell ref="A51:F52"/>
    <mergeCell ref="A68:D69"/>
    <mergeCell ref="A72:F73"/>
    <mergeCell ref="A76:F76"/>
    <mergeCell ref="A10:A11"/>
    <mergeCell ref="A12:A14"/>
    <mergeCell ref="B12:C14"/>
    <mergeCell ref="D12:D14"/>
    <mergeCell ref="E12:E14"/>
    <mergeCell ref="F12:F14"/>
    <mergeCell ref="A43:F4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411" t="s">
        <v>432</v>
      </c>
    </row>
    <row r="2">
      <c r="A2" s="412"/>
      <c r="B2" s="273"/>
      <c r="C2" s="413" t="s">
        <v>433</v>
      </c>
      <c r="D2" s="2"/>
      <c r="E2" s="2"/>
      <c r="F2" s="2"/>
    </row>
    <row r="3">
      <c r="A3" s="3"/>
      <c r="B3" s="275"/>
      <c r="C3" s="275"/>
      <c r="D3" s="115"/>
      <c r="E3" s="115"/>
      <c r="F3" s="115"/>
    </row>
    <row r="4">
      <c r="A4" s="276" t="s">
        <v>2</v>
      </c>
      <c r="B4" s="414" t="s">
        <v>3</v>
      </c>
      <c r="C4" s="14"/>
      <c r="D4" s="278" t="s">
        <v>4</v>
      </c>
      <c r="E4" s="278" t="s">
        <v>5</v>
      </c>
      <c r="F4" s="278" t="s">
        <v>6</v>
      </c>
    </row>
    <row r="5">
      <c r="A5" s="393" t="s">
        <v>33</v>
      </c>
      <c r="B5" s="415" t="s">
        <v>434</v>
      </c>
      <c r="C5" s="244"/>
      <c r="D5" s="280"/>
      <c r="E5" s="280"/>
      <c r="F5" s="280"/>
    </row>
    <row r="6">
      <c r="A6" s="366"/>
      <c r="B6" s="416" t="s">
        <v>435</v>
      </c>
      <c r="C6" s="14"/>
      <c r="D6" s="14"/>
      <c r="E6" s="14"/>
      <c r="F6" s="14"/>
    </row>
    <row r="7">
      <c r="A7" s="367"/>
      <c r="B7" s="417"/>
      <c r="C7" s="14"/>
      <c r="D7" s="21"/>
      <c r="E7" s="21"/>
      <c r="F7" s="21"/>
    </row>
    <row r="8">
      <c r="A8" s="418" t="s">
        <v>9</v>
      </c>
      <c r="B8" s="407" t="s">
        <v>436</v>
      </c>
      <c r="C8" s="244"/>
      <c r="D8" s="284"/>
      <c r="E8" s="284"/>
      <c r="F8" s="284"/>
    </row>
    <row r="9">
      <c r="A9" s="367"/>
      <c r="B9" s="419" t="s">
        <v>437</v>
      </c>
      <c r="C9" s="14"/>
      <c r="D9" s="21"/>
      <c r="E9" s="21"/>
      <c r="F9" s="21"/>
    </row>
    <row r="10">
      <c r="A10" s="395" t="s">
        <v>36</v>
      </c>
      <c r="B10" s="249" t="s">
        <v>438</v>
      </c>
      <c r="C10" s="244"/>
      <c r="D10" s="24"/>
      <c r="E10" s="24"/>
      <c r="F10" s="24"/>
    </row>
    <row r="11">
      <c r="A11" s="366"/>
      <c r="B11" s="250" t="s">
        <v>439</v>
      </c>
      <c r="C11" s="14"/>
      <c r="D11" s="14"/>
      <c r="E11" s="14"/>
      <c r="F11" s="14"/>
    </row>
    <row r="12">
      <c r="A12" s="367"/>
      <c r="B12" s="250" t="s">
        <v>38</v>
      </c>
      <c r="C12" s="14"/>
      <c r="D12" s="21"/>
      <c r="E12" s="21"/>
      <c r="F12" s="21"/>
    </row>
    <row r="13">
      <c r="A13" s="420" t="s">
        <v>11</v>
      </c>
      <c r="B13" s="421"/>
      <c r="C13" s="244"/>
      <c r="D13" s="32"/>
      <c r="E13" s="32"/>
      <c r="F13" s="32"/>
    </row>
    <row r="14">
      <c r="A14" s="366"/>
      <c r="B14" s="422" t="s">
        <v>440</v>
      </c>
      <c r="C14" s="14"/>
      <c r="D14" s="14"/>
      <c r="E14" s="14"/>
      <c r="F14" s="14"/>
    </row>
    <row r="15">
      <c r="A15" s="367"/>
      <c r="B15" s="423"/>
      <c r="C15" s="21"/>
      <c r="D15" s="21"/>
      <c r="E15" s="21"/>
      <c r="F15" s="21"/>
    </row>
    <row r="16">
      <c r="A16" s="2"/>
      <c r="B16" s="2"/>
      <c r="C16" s="2"/>
      <c r="D16" s="2"/>
      <c r="E16" s="2"/>
      <c r="F16" s="2"/>
    </row>
    <row r="17">
      <c r="A17" s="235" t="s">
        <v>441</v>
      </c>
    </row>
    <row r="18">
      <c r="A18" s="424" t="s">
        <v>15</v>
      </c>
      <c r="B18" s="118"/>
      <c r="C18" s="425" t="s">
        <v>16</v>
      </c>
      <c r="D18" s="35"/>
      <c r="E18" s="35"/>
      <c r="F18" s="35"/>
    </row>
    <row r="19">
      <c r="A19" s="35" t="s">
        <v>442</v>
      </c>
      <c r="B19" s="35"/>
      <c r="C19" s="290">
        <v>40.0</v>
      </c>
      <c r="D19" s="35"/>
      <c r="E19" s="50" t="b">
        <v>0</v>
      </c>
      <c r="F19" s="35"/>
    </row>
    <row r="20">
      <c r="A20" s="127"/>
      <c r="B20" s="127"/>
      <c r="C20" s="127"/>
      <c r="D20" s="127"/>
      <c r="E20" s="127"/>
      <c r="F20" s="127"/>
    </row>
    <row r="21">
      <c r="A21" s="216" t="s">
        <v>443</v>
      </c>
    </row>
    <row r="22">
      <c r="A22" s="225" t="s">
        <v>444</v>
      </c>
      <c r="B22" s="35"/>
      <c r="C22" s="290">
        <v>30.0</v>
      </c>
      <c r="D22" s="35"/>
      <c r="E22" s="50" t="b">
        <v>0</v>
      </c>
      <c r="F22" s="35"/>
    </row>
    <row r="23">
      <c r="A23" s="35" t="s">
        <v>445</v>
      </c>
      <c r="B23" s="35"/>
      <c r="C23" s="290">
        <v>6.0</v>
      </c>
      <c r="D23" s="35"/>
      <c r="E23" s="50" t="b">
        <v>0</v>
      </c>
      <c r="F23" s="35"/>
    </row>
    <row r="24">
      <c r="A24" s="35" t="s">
        <v>353</v>
      </c>
      <c r="B24" s="35"/>
      <c r="C24" s="290">
        <v>6.0</v>
      </c>
      <c r="D24" s="35"/>
      <c r="E24" s="50" t="b">
        <v>0</v>
      </c>
      <c r="F24" s="35"/>
    </row>
    <row r="25">
      <c r="A25" s="35"/>
      <c r="B25" s="35"/>
      <c r="C25" s="35"/>
      <c r="D25" s="35"/>
      <c r="E25" s="35"/>
      <c r="F25" s="35"/>
    </row>
    <row r="26">
      <c r="A26" s="48" t="s">
        <v>446</v>
      </c>
      <c r="B26" s="35"/>
      <c r="C26" s="35"/>
      <c r="D26" s="35"/>
      <c r="E26" s="35"/>
      <c r="F26" s="35"/>
    </row>
    <row r="27">
      <c r="A27" s="426" t="s">
        <v>447</v>
      </c>
      <c r="B27" s="127"/>
      <c r="C27" s="127"/>
      <c r="D27" s="127"/>
      <c r="E27" s="127"/>
      <c r="F27" s="127"/>
    </row>
    <row r="29">
      <c r="A29" s="404" t="s">
        <v>448</v>
      </c>
      <c r="B29" s="308"/>
      <c r="C29" s="308"/>
      <c r="D29" s="308"/>
      <c r="E29" s="308"/>
      <c r="F29" s="308"/>
      <c r="J29" s="114" t="s">
        <v>449</v>
      </c>
    </row>
    <row r="30">
      <c r="A30" s="304" t="s">
        <v>86</v>
      </c>
      <c r="B30" s="331"/>
      <c r="C30" s="304" t="s">
        <v>16</v>
      </c>
      <c r="D30" s="331"/>
      <c r="E30" s="427" t="s">
        <v>450</v>
      </c>
      <c r="F30" s="308"/>
      <c r="I30" s="428">
        <v>60.0</v>
      </c>
      <c r="J30" s="347">
        <f t="shared" ref="J30:J40" si="1">sum(I30/2)</f>
        <v>30</v>
      </c>
    </row>
    <row r="31">
      <c r="A31" s="308" t="s">
        <v>451</v>
      </c>
      <c r="B31" s="308"/>
      <c r="C31" s="428">
        <v>60.0</v>
      </c>
      <c r="D31" s="308"/>
      <c r="E31" s="50" t="b">
        <v>0</v>
      </c>
      <c r="F31" s="308"/>
      <c r="I31" s="428">
        <v>20.0</v>
      </c>
      <c r="J31" s="347">
        <f t="shared" si="1"/>
        <v>10</v>
      </c>
    </row>
    <row r="32">
      <c r="A32" s="313" t="s">
        <v>452</v>
      </c>
      <c r="B32" s="308"/>
      <c r="C32" s="428">
        <v>20.0</v>
      </c>
      <c r="D32" s="308"/>
      <c r="E32" s="50" t="b">
        <v>0</v>
      </c>
      <c r="F32" s="308"/>
      <c r="I32" s="428">
        <v>50.0</v>
      </c>
      <c r="J32" s="347">
        <f t="shared" si="1"/>
        <v>25</v>
      </c>
    </row>
    <row r="33">
      <c r="A33" s="308" t="s">
        <v>320</v>
      </c>
      <c r="B33" s="308"/>
      <c r="C33" s="428">
        <v>50.0</v>
      </c>
      <c r="D33" s="308"/>
      <c r="E33" s="50" t="b">
        <v>0</v>
      </c>
      <c r="F33" s="308"/>
      <c r="I33" s="428">
        <v>0.4</v>
      </c>
      <c r="J33" s="347">
        <f t="shared" si="1"/>
        <v>0.2</v>
      </c>
    </row>
    <row r="34">
      <c r="A34" s="308" t="s">
        <v>117</v>
      </c>
      <c r="B34" s="308"/>
      <c r="C34" s="428">
        <v>0.4</v>
      </c>
      <c r="D34" s="308"/>
      <c r="E34" s="50" t="b">
        <v>0</v>
      </c>
      <c r="F34" s="308"/>
      <c r="I34" s="428">
        <v>24.0</v>
      </c>
      <c r="J34" s="347">
        <f t="shared" si="1"/>
        <v>12</v>
      </c>
    </row>
    <row r="35">
      <c r="A35" s="308" t="s">
        <v>323</v>
      </c>
      <c r="B35" s="308"/>
      <c r="C35" s="428">
        <v>24.0</v>
      </c>
      <c r="D35" s="308"/>
      <c r="E35" s="50" t="b">
        <v>0</v>
      </c>
      <c r="F35" s="308"/>
      <c r="I35" s="428">
        <v>0.8</v>
      </c>
      <c r="J35" s="347">
        <f t="shared" si="1"/>
        <v>0.4</v>
      </c>
    </row>
    <row r="36">
      <c r="A36" s="313" t="s">
        <v>453</v>
      </c>
      <c r="B36" s="308"/>
      <c r="C36" s="428">
        <v>0.8</v>
      </c>
      <c r="D36" s="308"/>
      <c r="E36" s="50" t="b">
        <v>0</v>
      </c>
      <c r="F36" s="308"/>
      <c r="I36" s="428">
        <v>1.0</v>
      </c>
      <c r="J36" s="347">
        <f t="shared" si="1"/>
        <v>0.5</v>
      </c>
    </row>
    <row r="37">
      <c r="A37" s="308" t="s">
        <v>454</v>
      </c>
      <c r="B37" s="308"/>
      <c r="C37" s="428">
        <v>1.0</v>
      </c>
      <c r="D37" s="308"/>
      <c r="E37" s="50" t="b">
        <v>0</v>
      </c>
      <c r="F37" s="308"/>
      <c r="I37" s="428">
        <v>3.6</v>
      </c>
      <c r="J37" s="347">
        <f t="shared" si="1"/>
        <v>1.8</v>
      </c>
    </row>
    <row r="38">
      <c r="A38" s="308" t="s">
        <v>46</v>
      </c>
      <c r="B38" s="308"/>
      <c r="C38" s="428">
        <v>3.6</v>
      </c>
      <c r="D38" s="308"/>
      <c r="E38" s="50" t="b">
        <v>0</v>
      </c>
      <c r="F38" s="308"/>
      <c r="I38" s="428">
        <v>0.1</v>
      </c>
      <c r="J38" s="347">
        <f t="shared" si="1"/>
        <v>0.05</v>
      </c>
    </row>
    <row r="39">
      <c r="A39" s="308" t="s">
        <v>455</v>
      </c>
      <c r="B39" s="308"/>
      <c r="C39" s="428">
        <v>0.1</v>
      </c>
      <c r="D39" s="308"/>
      <c r="E39" s="50" t="b">
        <v>0</v>
      </c>
      <c r="F39" s="308"/>
      <c r="I39" s="428">
        <v>0.3</v>
      </c>
      <c r="J39" s="347">
        <f t="shared" si="1"/>
        <v>0.15</v>
      </c>
    </row>
    <row r="40">
      <c r="A40" s="308" t="s">
        <v>456</v>
      </c>
      <c r="B40" s="308"/>
      <c r="C40" s="428">
        <v>0.3</v>
      </c>
      <c r="D40" s="308"/>
      <c r="E40" s="50" t="b">
        <v>0</v>
      </c>
      <c r="F40" s="308"/>
      <c r="I40" s="429">
        <v>4.0</v>
      </c>
      <c r="J40" s="347">
        <f t="shared" si="1"/>
        <v>2</v>
      </c>
    </row>
    <row r="41">
      <c r="A41" s="430" t="s">
        <v>457</v>
      </c>
      <c r="B41" s="331"/>
      <c r="C41" s="429">
        <v>4.0</v>
      </c>
      <c r="D41" s="331"/>
      <c r="E41" s="431" t="b">
        <v>0</v>
      </c>
      <c r="F41" s="308"/>
    </row>
    <row r="42">
      <c r="A42" s="432" t="s">
        <v>458</v>
      </c>
      <c r="B42" s="308"/>
      <c r="C42" s="433">
        <v>164.2</v>
      </c>
      <c r="D42" s="434" t="s">
        <v>459</v>
      </c>
      <c r="E42" s="50" t="b">
        <v>0</v>
      </c>
      <c r="F42" s="308"/>
    </row>
    <row r="43">
      <c r="A43" s="308"/>
      <c r="B43" s="308"/>
      <c r="C43" s="308"/>
      <c r="D43" s="308"/>
      <c r="E43" s="308"/>
      <c r="F43" s="308"/>
    </row>
    <row r="44">
      <c r="A44" s="404" t="s">
        <v>460</v>
      </c>
      <c r="B44" s="308"/>
      <c r="C44" s="308"/>
      <c r="D44" s="308"/>
      <c r="E44" s="308"/>
      <c r="F44" s="308"/>
    </row>
    <row r="45">
      <c r="A45" s="435" t="s">
        <v>461</v>
      </c>
    </row>
    <row r="46">
      <c r="A46" s="436"/>
      <c r="B46" s="436"/>
      <c r="C46" s="436"/>
      <c r="D46" s="436"/>
      <c r="E46" s="436"/>
      <c r="F46" s="436"/>
    </row>
    <row r="47">
      <c r="A47" s="436" t="s">
        <v>462</v>
      </c>
    </row>
    <row r="49">
      <c r="A49" s="437" t="s">
        <v>463</v>
      </c>
      <c r="B49" s="308"/>
      <c r="C49" s="308"/>
      <c r="D49" s="308"/>
      <c r="E49" s="308"/>
      <c r="F49" s="308"/>
    </row>
    <row r="50">
      <c r="A50" s="438" t="s">
        <v>15</v>
      </c>
      <c r="B50" s="331"/>
      <c r="C50" s="439" t="s">
        <v>16</v>
      </c>
      <c r="D50" s="308"/>
      <c r="E50" s="334" t="s">
        <v>327</v>
      </c>
      <c r="F50" s="308"/>
    </row>
    <row r="51">
      <c r="A51" s="308" t="s">
        <v>464</v>
      </c>
      <c r="B51" s="308"/>
      <c r="C51" s="428">
        <v>6.0</v>
      </c>
      <c r="D51" s="308"/>
      <c r="E51" s="50" t="b">
        <v>0</v>
      </c>
      <c r="F51" s="308"/>
    </row>
    <row r="52">
      <c r="A52" s="313" t="s">
        <v>465</v>
      </c>
      <c r="B52" s="308"/>
      <c r="C52" s="312"/>
      <c r="D52" s="308"/>
      <c r="E52" s="50" t="b">
        <v>0</v>
      </c>
      <c r="F52" s="308"/>
    </row>
    <row r="53">
      <c r="A53" s="308" t="s">
        <v>168</v>
      </c>
      <c r="B53" s="308"/>
      <c r="C53" s="310">
        <v>3.0</v>
      </c>
      <c r="D53" s="308"/>
      <c r="E53" s="50" t="b">
        <v>0</v>
      </c>
      <c r="F53" s="308"/>
    </row>
    <row r="54">
      <c r="A54" s="308" t="s">
        <v>466</v>
      </c>
      <c r="B54" s="308"/>
      <c r="C54" s="310">
        <v>2.0</v>
      </c>
      <c r="D54" s="308"/>
      <c r="E54" s="50" t="b">
        <v>0</v>
      </c>
      <c r="F54" s="308"/>
    </row>
    <row r="55">
      <c r="A55" s="308" t="s">
        <v>467</v>
      </c>
      <c r="B55" s="308"/>
      <c r="C55" s="310">
        <v>4.0</v>
      </c>
      <c r="D55" s="308"/>
      <c r="E55" s="50" t="b">
        <v>0</v>
      </c>
      <c r="F55" s="308"/>
    </row>
    <row r="56">
      <c r="A56" s="308" t="s">
        <v>468</v>
      </c>
      <c r="B56" s="308"/>
      <c r="C56" s="310">
        <v>4.0</v>
      </c>
      <c r="D56" s="308"/>
      <c r="E56" s="50" t="b">
        <v>0</v>
      </c>
      <c r="F56" s="308"/>
    </row>
    <row r="57">
      <c r="A57" s="308" t="s">
        <v>55</v>
      </c>
      <c r="B57" s="308"/>
      <c r="C57" s="310">
        <v>1.2</v>
      </c>
      <c r="D57" s="308"/>
      <c r="E57" s="50" t="b">
        <v>0</v>
      </c>
      <c r="F57" s="308"/>
    </row>
    <row r="58">
      <c r="A58" s="334" t="s">
        <v>469</v>
      </c>
      <c r="B58" s="308"/>
      <c r="C58" s="440">
        <v>12.0</v>
      </c>
      <c r="D58" s="308"/>
      <c r="E58" s="50" t="b">
        <v>0</v>
      </c>
      <c r="F58" s="308"/>
    </row>
    <row r="59">
      <c r="A59" s="441" t="s">
        <v>470</v>
      </c>
      <c r="B59" s="432"/>
      <c r="C59" s="432"/>
      <c r="D59" s="432"/>
      <c r="E59" s="308"/>
      <c r="F59" s="308"/>
    </row>
    <row r="60">
      <c r="A60" s="441" t="s">
        <v>471</v>
      </c>
      <c r="E60" s="308"/>
      <c r="F60" s="308"/>
    </row>
    <row r="61">
      <c r="A61" s="404" t="s">
        <v>421</v>
      </c>
      <c r="B61" s="308"/>
      <c r="C61" s="308"/>
      <c r="D61" s="308"/>
      <c r="E61" s="308"/>
      <c r="F61" s="308"/>
    </row>
    <row r="62">
      <c r="A62" s="441" t="s">
        <v>472</v>
      </c>
      <c r="B62" s="308"/>
      <c r="C62" s="308"/>
      <c r="D62" s="308"/>
      <c r="E62" s="308"/>
      <c r="F62" s="308"/>
    </row>
    <row r="63">
      <c r="A63" s="441" t="s">
        <v>473</v>
      </c>
      <c r="B63" s="308"/>
      <c r="C63" s="308"/>
      <c r="D63" s="308"/>
      <c r="E63" s="308"/>
      <c r="F63" s="308"/>
    </row>
    <row r="64">
      <c r="A64" s="442" t="s">
        <v>474</v>
      </c>
      <c r="B64" s="443"/>
      <c r="C64" s="443"/>
      <c r="D64" s="443"/>
      <c r="E64" s="443"/>
      <c r="F64" s="443"/>
    </row>
    <row r="67">
      <c r="A67" s="300" t="s">
        <v>475</v>
      </c>
    </row>
    <row r="68">
      <c r="A68" s="2"/>
      <c r="B68" s="2"/>
      <c r="C68" s="2"/>
      <c r="D68" s="2"/>
      <c r="E68" s="2"/>
      <c r="F68" s="2"/>
    </row>
    <row r="69">
      <c r="A69" s="112" t="s">
        <v>476</v>
      </c>
    </row>
    <row r="70">
      <c r="A70" s="112" t="s">
        <v>477</v>
      </c>
    </row>
    <row r="71">
      <c r="A71" s="112" t="s">
        <v>478</v>
      </c>
    </row>
  </sheetData>
  <mergeCells count="36">
    <mergeCell ref="A1:F1"/>
    <mergeCell ref="B4:C4"/>
    <mergeCell ref="A5:A7"/>
    <mergeCell ref="B5:C5"/>
    <mergeCell ref="D5:D7"/>
    <mergeCell ref="E5:E7"/>
    <mergeCell ref="F5:F7"/>
    <mergeCell ref="A8:A9"/>
    <mergeCell ref="A10:A12"/>
    <mergeCell ref="A13:A15"/>
    <mergeCell ref="D8:D9"/>
    <mergeCell ref="D10:D12"/>
    <mergeCell ref="E10:E12"/>
    <mergeCell ref="F10:F12"/>
    <mergeCell ref="B6:C6"/>
    <mergeCell ref="B7:C7"/>
    <mergeCell ref="B8:C8"/>
    <mergeCell ref="E8:E9"/>
    <mergeCell ref="F8:F9"/>
    <mergeCell ref="B9:C9"/>
    <mergeCell ref="B10:C10"/>
    <mergeCell ref="B15:C15"/>
    <mergeCell ref="A45:F45"/>
    <mergeCell ref="A47:F47"/>
    <mergeCell ref="A60:D60"/>
    <mergeCell ref="A67:F67"/>
    <mergeCell ref="A69:F69"/>
    <mergeCell ref="A70:F70"/>
    <mergeCell ref="A71:F71"/>
    <mergeCell ref="B11:C11"/>
    <mergeCell ref="B12:C12"/>
    <mergeCell ref="B13:C13"/>
    <mergeCell ref="D13:D15"/>
    <mergeCell ref="E13:E15"/>
    <mergeCell ref="F13:F15"/>
    <mergeCell ref="B14:C1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444" t="s">
        <v>479</v>
      </c>
      <c r="B1" s="445"/>
      <c r="C1" s="446"/>
    </row>
    <row r="4">
      <c r="A4" s="447" t="s">
        <v>480</v>
      </c>
      <c r="J4" s="114" t="s">
        <v>481</v>
      </c>
    </row>
    <row r="5">
      <c r="A5" s="114" t="s">
        <v>482</v>
      </c>
    </row>
    <row r="6">
      <c r="A6" s="424" t="s">
        <v>86</v>
      </c>
      <c r="B6" s="118"/>
      <c r="C6" s="425" t="s">
        <v>16</v>
      </c>
      <c r="D6" s="35"/>
      <c r="E6" s="35"/>
      <c r="F6" s="35"/>
      <c r="H6" s="424" t="s">
        <v>86</v>
      </c>
      <c r="I6" s="118"/>
      <c r="J6" s="425" t="s">
        <v>16</v>
      </c>
      <c r="K6" s="35"/>
      <c r="L6" s="35"/>
      <c r="M6" s="35"/>
    </row>
    <row r="7">
      <c r="A7" s="448" t="s">
        <v>483</v>
      </c>
      <c r="B7" s="35"/>
      <c r="C7" s="290">
        <v>20.0</v>
      </c>
      <c r="D7" s="35"/>
      <c r="E7" s="50" t="b">
        <v>0</v>
      </c>
      <c r="F7" s="35"/>
      <c r="H7" s="448" t="s">
        <v>483</v>
      </c>
      <c r="I7" s="35"/>
      <c r="J7" s="290">
        <v>16.0</v>
      </c>
      <c r="K7" s="35"/>
      <c r="L7" s="50" t="b">
        <v>0</v>
      </c>
      <c r="M7" s="35"/>
    </row>
    <row r="8">
      <c r="A8" s="448"/>
      <c r="B8" s="35"/>
      <c r="C8" s="35"/>
      <c r="D8" s="35"/>
      <c r="E8" s="35"/>
      <c r="F8" s="35"/>
      <c r="H8" s="448"/>
      <c r="I8" s="35"/>
      <c r="J8" s="35"/>
      <c r="K8" s="35"/>
      <c r="L8" s="35"/>
      <c r="M8" s="35"/>
    </row>
    <row r="9">
      <c r="A9" s="449" t="s">
        <v>484</v>
      </c>
      <c r="B9" s="35"/>
      <c r="C9" s="35"/>
      <c r="D9" s="35"/>
      <c r="E9" s="35"/>
      <c r="F9" s="35"/>
      <c r="H9" s="449" t="s">
        <v>484</v>
      </c>
      <c r="I9" s="35"/>
      <c r="J9" s="35"/>
      <c r="K9" s="35"/>
      <c r="L9" s="35"/>
      <c r="M9" s="35"/>
    </row>
    <row r="10">
      <c r="A10" s="424" t="s">
        <v>86</v>
      </c>
      <c r="B10" s="118"/>
      <c r="C10" s="425" t="s">
        <v>16</v>
      </c>
      <c r="D10" s="35"/>
      <c r="E10" s="35"/>
      <c r="F10" s="35"/>
      <c r="H10" s="424" t="s">
        <v>86</v>
      </c>
      <c r="I10" s="118"/>
      <c r="J10" s="425" t="s">
        <v>16</v>
      </c>
      <c r="K10" s="35"/>
      <c r="L10" s="35"/>
      <c r="M10" s="35"/>
    </row>
    <row r="11">
      <c r="A11" s="450" t="s">
        <v>485</v>
      </c>
      <c r="B11" s="35"/>
      <c r="C11" s="451">
        <v>20.0</v>
      </c>
      <c r="D11" s="35"/>
      <c r="E11" s="50" t="b">
        <v>0</v>
      </c>
      <c r="F11" s="35"/>
      <c r="H11" s="450" t="s">
        <v>485</v>
      </c>
      <c r="I11" s="35"/>
      <c r="J11" s="451">
        <v>16.0</v>
      </c>
      <c r="K11" s="35"/>
      <c r="L11" s="50" t="b">
        <v>0</v>
      </c>
      <c r="M11" s="35"/>
    </row>
    <row r="12">
      <c r="A12" s="450" t="s">
        <v>486</v>
      </c>
      <c r="B12" s="35"/>
      <c r="C12" s="451">
        <v>2.0</v>
      </c>
      <c r="D12" s="35"/>
      <c r="E12" s="50" t="b">
        <v>0</v>
      </c>
      <c r="F12" s="35"/>
      <c r="H12" s="450" t="s">
        <v>486</v>
      </c>
      <c r="I12" s="35"/>
      <c r="J12" s="451">
        <v>1.5</v>
      </c>
      <c r="K12" s="35"/>
      <c r="L12" s="50" t="b">
        <v>0</v>
      </c>
      <c r="M12" s="35"/>
    </row>
    <row r="13">
      <c r="A13" s="371" t="s">
        <v>253</v>
      </c>
      <c r="B13" s="35"/>
      <c r="C13" s="451">
        <v>14.0</v>
      </c>
      <c r="D13" s="35"/>
      <c r="E13" s="50" t="b">
        <v>0</v>
      </c>
      <c r="F13" s="35"/>
      <c r="H13" s="371" t="s">
        <v>253</v>
      </c>
      <c r="I13" s="35"/>
      <c r="J13" s="451">
        <v>11.0</v>
      </c>
      <c r="K13" s="35"/>
      <c r="L13" s="50" t="b">
        <v>0</v>
      </c>
      <c r="M13" s="35"/>
    </row>
    <row r="14">
      <c r="A14" s="35"/>
      <c r="B14" s="35"/>
      <c r="C14" s="35"/>
      <c r="D14" s="35"/>
      <c r="E14" s="35"/>
      <c r="F14" s="35"/>
      <c r="H14" s="35"/>
      <c r="I14" s="35"/>
      <c r="J14" s="35"/>
      <c r="K14" s="35"/>
      <c r="L14" s="35"/>
      <c r="M14" s="35"/>
    </row>
    <row r="15">
      <c r="A15" s="225" t="s">
        <v>487</v>
      </c>
      <c r="B15" s="35"/>
      <c r="C15" s="35"/>
      <c r="D15" s="35"/>
      <c r="E15" s="35"/>
      <c r="F15" s="35"/>
      <c r="H15" s="225" t="s">
        <v>487</v>
      </c>
      <c r="I15" s="35"/>
      <c r="J15" s="35"/>
      <c r="K15" s="35"/>
      <c r="L15" s="35"/>
      <c r="M15" s="35"/>
    </row>
    <row r="16">
      <c r="A16" s="424" t="s">
        <v>15</v>
      </c>
      <c r="B16" s="118"/>
      <c r="C16" s="425" t="s">
        <v>16</v>
      </c>
      <c r="D16" s="35"/>
      <c r="E16" s="35"/>
      <c r="F16" s="35"/>
      <c r="H16" s="424" t="s">
        <v>15</v>
      </c>
      <c r="I16" s="118"/>
      <c r="J16" s="425" t="s">
        <v>16</v>
      </c>
      <c r="K16" s="35"/>
      <c r="L16" s="35"/>
      <c r="M16" s="35"/>
    </row>
    <row r="17">
      <c r="A17" s="35" t="s">
        <v>146</v>
      </c>
      <c r="B17" s="35"/>
      <c r="C17" s="290">
        <v>40.0</v>
      </c>
      <c r="D17" s="35"/>
      <c r="E17" s="50" t="b">
        <v>0</v>
      </c>
      <c r="F17" s="35"/>
      <c r="H17" s="35" t="s">
        <v>146</v>
      </c>
      <c r="I17" s="35"/>
      <c r="J17" s="290">
        <v>32.0</v>
      </c>
      <c r="K17" s="35"/>
      <c r="L17" s="50" t="b">
        <v>0</v>
      </c>
      <c r="M17" s="35"/>
    </row>
    <row r="18">
      <c r="A18" s="35"/>
      <c r="B18" s="35"/>
      <c r="C18" s="35"/>
      <c r="D18" s="35"/>
      <c r="E18" s="35"/>
      <c r="F18" s="35"/>
      <c r="H18" s="35"/>
      <c r="I18" s="35"/>
      <c r="J18" s="35"/>
      <c r="K18" s="35"/>
      <c r="L18" s="35"/>
      <c r="M18" s="35"/>
    </row>
    <row r="19">
      <c r="A19" s="48" t="s">
        <v>488</v>
      </c>
      <c r="B19" s="35"/>
      <c r="C19" s="35"/>
      <c r="D19" s="35"/>
      <c r="E19" s="35"/>
      <c r="F19" s="35"/>
      <c r="H19" s="48" t="s">
        <v>488</v>
      </c>
      <c r="I19" s="35"/>
      <c r="J19" s="35"/>
      <c r="K19" s="35"/>
      <c r="L19" s="35"/>
      <c r="M19" s="35"/>
    </row>
    <row r="20">
      <c r="A20" s="35"/>
      <c r="B20" s="35"/>
      <c r="C20" s="35"/>
      <c r="D20" s="35"/>
      <c r="E20" s="35"/>
      <c r="F20" s="35"/>
      <c r="H20" s="35"/>
      <c r="I20" s="35"/>
      <c r="J20" s="35"/>
      <c r="K20" s="35"/>
      <c r="L20" s="35"/>
      <c r="M20" s="35"/>
    </row>
    <row r="24">
      <c r="J24" s="347">
        <f>56*0.7</f>
        <v>39.2</v>
      </c>
    </row>
  </sheetData>
  <mergeCells count="1">
    <mergeCell ref="A4:F4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411" t="s">
        <v>489</v>
      </c>
    </row>
    <row r="2">
      <c r="A2" s="452"/>
      <c r="B2" s="275"/>
      <c r="C2" s="275"/>
      <c r="D2" s="115"/>
      <c r="E2" s="115"/>
      <c r="F2" s="115"/>
    </row>
    <row r="3">
      <c r="A3" s="453"/>
      <c r="B3" s="454"/>
      <c r="C3" s="454"/>
      <c r="D3" s="351"/>
      <c r="E3" s="351"/>
      <c r="F3" s="351"/>
    </row>
    <row r="4">
      <c r="A4" s="276" t="s">
        <v>2</v>
      </c>
      <c r="B4" s="277" t="s">
        <v>3</v>
      </c>
      <c r="C4" s="21"/>
      <c r="D4" s="278" t="s">
        <v>4</v>
      </c>
      <c r="E4" s="278" t="s">
        <v>5</v>
      </c>
      <c r="F4" s="278" t="s">
        <v>6</v>
      </c>
    </row>
    <row r="5">
      <c r="A5" s="279" t="s">
        <v>33</v>
      </c>
      <c r="B5" s="455" t="s">
        <v>490</v>
      </c>
      <c r="C5" s="21"/>
      <c r="D5" s="280"/>
      <c r="E5" s="280"/>
      <c r="F5" s="280"/>
    </row>
    <row r="6">
      <c r="A6" s="25"/>
      <c r="B6" s="456" t="s">
        <v>491</v>
      </c>
      <c r="C6" s="21"/>
      <c r="D6" s="14"/>
      <c r="E6" s="14"/>
      <c r="F6" s="14"/>
    </row>
    <row r="7">
      <c r="A7" s="27"/>
      <c r="B7" s="457"/>
      <c r="C7" s="21"/>
      <c r="D7" s="21"/>
      <c r="E7" s="21"/>
      <c r="F7" s="21"/>
    </row>
    <row r="8">
      <c r="A8" s="282" t="s">
        <v>9</v>
      </c>
      <c r="B8" s="285" t="s">
        <v>492</v>
      </c>
      <c r="C8" s="21"/>
      <c r="D8" s="284"/>
      <c r="E8" s="284"/>
      <c r="F8" s="284"/>
    </row>
    <row r="9">
      <c r="A9" s="25"/>
      <c r="B9" s="285" t="s">
        <v>493</v>
      </c>
      <c r="C9" s="21"/>
      <c r="D9" s="14"/>
      <c r="E9" s="14"/>
      <c r="F9" s="14"/>
    </row>
    <row r="10">
      <c r="A10" s="27"/>
      <c r="B10" s="458" t="s">
        <v>494</v>
      </c>
      <c r="C10" s="21"/>
      <c r="D10" s="21"/>
      <c r="E10" s="21"/>
      <c r="F10" s="21"/>
    </row>
    <row r="11">
      <c r="A11" s="281" t="s">
        <v>36</v>
      </c>
      <c r="B11" s="69" t="s">
        <v>267</v>
      </c>
      <c r="C11" s="21"/>
      <c r="D11" s="24"/>
      <c r="E11" s="24"/>
      <c r="F11" s="24"/>
    </row>
    <row r="12">
      <c r="A12" s="25"/>
      <c r="B12" s="69" t="s">
        <v>38</v>
      </c>
      <c r="C12" s="21"/>
      <c r="D12" s="14"/>
      <c r="E12" s="14"/>
      <c r="F12" s="14"/>
    </row>
    <row r="13">
      <c r="A13" s="27"/>
      <c r="B13" s="457"/>
      <c r="C13" s="21"/>
      <c r="D13" s="21"/>
      <c r="E13" s="21"/>
      <c r="F13" s="21"/>
    </row>
    <row r="14">
      <c r="A14" s="286" t="s">
        <v>11</v>
      </c>
      <c r="B14" s="457"/>
      <c r="C14" s="21"/>
      <c r="D14" s="32"/>
      <c r="E14" s="32"/>
      <c r="F14" s="32"/>
    </row>
    <row r="15">
      <c r="A15" s="25"/>
      <c r="B15" s="74" t="s">
        <v>495</v>
      </c>
      <c r="C15" s="21"/>
      <c r="D15" s="14"/>
      <c r="E15" s="14"/>
      <c r="F15" s="14"/>
    </row>
    <row r="16">
      <c r="A16" s="27"/>
      <c r="B16" s="457"/>
      <c r="C16" s="21"/>
      <c r="D16" s="21"/>
      <c r="E16" s="21"/>
      <c r="F16" s="21"/>
    </row>
    <row r="17">
      <c r="A17" s="2"/>
      <c r="B17" s="2"/>
      <c r="C17" s="2"/>
      <c r="D17" s="2"/>
      <c r="E17" s="2"/>
      <c r="F17" s="2"/>
    </row>
    <row r="18">
      <c r="A18" s="459" t="s">
        <v>496</v>
      </c>
      <c r="B18" s="9"/>
      <c r="C18" s="9"/>
      <c r="D18" s="9"/>
      <c r="E18" s="9"/>
      <c r="F18" s="9"/>
    </row>
    <row r="19">
      <c r="A19" s="460" t="s">
        <v>497</v>
      </c>
      <c r="B19" s="461"/>
      <c r="C19" s="461"/>
      <c r="D19" s="19"/>
      <c r="E19" s="19"/>
      <c r="F19" s="19"/>
    </row>
    <row r="20">
      <c r="A20" s="462" t="s">
        <v>15</v>
      </c>
      <c r="B20" s="463"/>
      <c r="C20" s="464" t="s">
        <v>16</v>
      </c>
      <c r="D20" s="35"/>
      <c r="E20" s="35"/>
      <c r="F20" s="35"/>
    </row>
    <row r="21">
      <c r="A21" s="35" t="s">
        <v>442</v>
      </c>
      <c r="B21" s="35"/>
      <c r="C21" s="451">
        <v>40.0</v>
      </c>
      <c r="D21" s="35"/>
      <c r="E21" s="50" t="b">
        <v>0</v>
      </c>
      <c r="F21" s="35"/>
    </row>
    <row r="22">
      <c r="A22" s="465" t="s">
        <v>498</v>
      </c>
      <c r="B22" s="461"/>
      <c r="C22" s="461"/>
      <c r="D22" s="19"/>
      <c r="E22" s="19"/>
      <c r="F22" s="19"/>
    </row>
    <row r="23">
      <c r="A23" s="35" t="s">
        <v>362</v>
      </c>
      <c r="B23" s="35"/>
      <c r="C23" s="451">
        <v>28.0</v>
      </c>
      <c r="D23" s="35"/>
      <c r="E23" s="50" t="b">
        <v>0</v>
      </c>
      <c r="F23" s="35"/>
    </row>
    <row r="24">
      <c r="A24" s="35" t="s">
        <v>445</v>
      </c>
      <c r="B24" s="35"/>
      <c r="C24" s="451">
        <v>4.0</v>
      </c>
      <c r="D24" s="35"/>
      <c r="E24" s="50" t="b">
        <v>0</v>
      </c>
      <c r="F24" s="35"/>
    </row>
    <row r="25">
      <c r="A25" s="118"/>
      <c r="B25" s="118"/>
      <c r="C25" s="118"/>
      <c r="D25" s="118"/>
      <c r="E25" s="118"/>
      <c r="F25" s="35"/>
    </row>
    <row r="26">
      <c r="A26" s="466" t="s">
        <v>499</v>
      </c>
      <c r="B26" s="455"/>
      <c r="C26" s="455"/>
      <c r="D26" s="455"/>
      <c r="E26" s="455"/>
      <c r="F26" s="35"/>
    </row>
    <row r="27">
      <c r="A27" s="467" t="s">
        <v>500</v>
      </c>
    </row>
    <row r="28">
      <c r="A28" s="367"/>
      <c r="B28" s="9"/>
      <c r="C28" s="9"/>
      <c r="D28" s="9"/>
      <c r="E28" s="9"/>
      <c r="F28" s="9"/>
    </row>
    <row r="29">
      <c r="A29" s="19"/>
      <c r="B29" s="19"/>
      <c r="C29" s="19"/>
      <c r="D29" s="19"/>
      <c r="E29" s="19"/>
      <c r="F29" s="19"/>
    </row>
    <row r="30">
      <c r="A30" s="468" t="s">
        <v>501</v>
      </c>
      <c r="B30" s="308"/>
      <c r="C30" s="308"/>
      <c r="D30" s="308"/>
      <c r="E30" s="308"/>
      <c r="F30" s="308"/>
    </row>
    <row r="31">
      <c r="A31" s="438" t="s">
        <v>86</v>
      </c>
      <c r="B31" s="331"/>
      <c r="C31" s="438" t="s">
        <v>16</v>
      </c>
      <c r="D31" s="308"/>
      <c r="E31" s="335" t="s">
        <v>450</v>
      </c>
      <c r="F31" s="308"/>
    </row>
    <row r="32">
      <c r="A32" s="313" t="s">
        <v>502</v>
      </c>
      <c r="B32" s="308"/>
      <c r="C32" s="469">
        <v>61.0</v>
      </c>
      <c r="D32" s="308"/>
      <c r="E32" s="50" t="b">
        <v>0</v>
      </c>
      <c r="F32" s="308"/>
    </row>
    <row r="33">
      <c r="A33" s="308" t="s">
        <v>285</v>
      </c>
      <c r="B33" s="308"/>
      <c r="C33" s="469">
        <v>0.4</v>
      </c>
      <c r="D33" s="308"/>
      <c r="E33" s="50" t="b">
        <v>0</v>
      </c>
      <c r="F33" s="308"/>
    </row>
    <row r="34">
      <c r="A34" s="308" t="s">
        <v>320</v>
      </c>
      <c r="B34" s="308"/>
      <c r="C34" s="469">
        <v>48.0</v>
      </c>
      <c r="D34" s="308"/>
      <c r="E34" s="50" t="b">
        <v>0</v>
      </c>
      <c r="F34" s="308"/>
    </row>
    <row r="35">
      <c r="A35" s="468" t="s">
        <v>503</v>
      </c>
      <c r="B35" s="308"/>
      <c r="C35" s="469">
        <v>16.0</v>
      </c>
      <c r="D35" s="308"/>
      <c r="E35" s="50" t="b">
        <v>0</v>
      </c>
      <c r="F35" s="308"/>
    </row>
    <row r="36">
      <c r="A36" s="308" t="s">
        <v>323</v>
      </c>
      <c r="B36" s="308"/>
      <c r="C36" s="469">
        <v>24.0</v>
      </c>
      <c r="D36" s="308"/>
      <c r="E36" s="50" t="b">
        <v>0</v>
      </c>
      <c r="F36" s="308"/>
    </row>
    <row r="37">
      <c r="A37" s="470" t="s">
        <v>504</v>
      </c>
      <c r="B37" s="308"/>
      <c r="C37" s="469">
        <v>0.02</v>
      </c>
      <c r="D37" s="308"/>
      <c r="E37" s="50" t="b">
        <v>0</v>
      </c>
      <c r="F37" s="308"/>
    </row>
    <row r="38">
      <c r="A38" s="308" t="s">
        <v>343</v>
      </c>
      <c r="B38" s="308"/>
      <c r="C38" s="469">
        <v>1.0</v>
      </c>
      <c r="D38" s="308"/>
      <c r="E38" s="50" t="b">
        <v>0</v>
      </c>
      <c r="F38" s="308"/>
    </row>
    <row r="39">
      <c r="A39" s="468" t="s">
        <v>453</v>
      </c>
      <c r="B39" s="308"/>
      <c r="C39" s="469">
        <v>2.0</v>
      </c>
      <c r="D39" s="308"/>
      <c r="E39" s="50" t="b">
        <v>0</v>
      </c>
      <c r="F39" s="308"/>
    </row>
    <row r="40">
      <c r="A40" s="308" t="s">
        <v>454</v>
      </c>
      <c r="B40" s="308"/>
      <c r="C40" s="469">
        <v>2.0</v>
      </c>
      <c r="D40" s="308"/>
      <c r="E40" s="50" t="b">
        <v>0</v>
      </c>
      <c r="F40" s="308"/>
    </row>
    <row r="41">
      <c r="A41" s="308" t="s">
        <v>46</v>
      </c>
      <c r="B41" s="308"/>
      <c r="C41" s="469">
        <v>2.0</v>
      </c>
      <c r="D41" s="308"/>
      <c r="E41" s="50" t="b">
        <v>0</v>
      </c>
      <c r="F41" s="308"/>
    </row>
    <row r="42">
      <c r="A42" s="308" t="s">
        <v>505</v>
      </c>
      <c r="B42" s="308"/>
      <c r="C42" s="469">
        <v>0.4</v>
      </c>
      <c r="D42" s="308"/>
      <c r="E42" s="50" t="b">
        <v>0</v>
      </c>
      <c r="F42" s="308"/>
    </row>
    <row r="43">
      <c r="A43" s="468" t="s">
        <v>506</v>
      </c>
      <c r="B43" s="308"/>
      <c r="C43" s="469">
        <v>0.4</v>
      </c>
      <c r="D43" s="308"/>
      <c r="E43" s="50" t="b">
        <v>0</v>
      </c>
      <c r="F43" s="308"/>
    </row>
    <row r="44">
      <c r="A44" s="471" t="s">
        <v>458</v>
      </c>
      <c r="B44" s="308"/>
      <c r="C44" s="472">
        <v>157.2</v>
      </c>
      <c r="D44" s="473" t="s">
        <v>507</v>
      </c>
      <c r="E44" s="50" t="b">
        <v>0</v>
      </c>
      <c r="F44" s="308"/>
    </row>
    <row r="45">
      <c r="A45" s="308"/>
      <c r="B45" s="308"/>
      <c r="C45" s="308"/>
      <c r="D45" s="308"/>
      <c r="E45" s="308"/>
      <c r="F45" s="308"/>
    </row>
    <row r="46">
      <c r="A46" s="474" t="s">
        <v>508</v>
      </c>
    </row>
    <row r="47">
      <c r="A47" s="475"/>
    </row>
    <row r="48">
      <c r="A48" s="115"/>
      <c r="B48" s="115"/>
      <c r="C48" s="115"/>
      <c r="D48" s="115"/>
      <c r="E48" s="2"/>
      <c r="F48" s="2"/>
    </row>
    <row r="49">
      <c r="A49" s="437" t="s">
        <v>509</v>
      </c>
      <c r="B49" s="308"/>
      <c r="C49" s="308"/>
      <c r="D49" s="308"/>
      <c r="E49" s="308"/>
      <c r="F49" s="308"/>
    </row>
    <row r="50">
      <c r="A50" s="438" t="s">
        <v>15</v>
      </c>
      <c r="B50" s="307" t="s">
        <v>205</v>
      </c>
      <c r="C50" s="439" t="s">
        <v>16</v>
      </c>
      <c r="D50" s="308"/>
      <c r="E50" s="335" t="s">
        <v>327</v>
      </c>
      <c r="F50" s="308"/>
    </row>
    <row r="51">
      <c r="A51" s="308" t="s">
        <v>464</v>
      </c>
      <c r="B51" s="308"/>
      <c r="C51" s="476">
        <v>5.0</v>
      </c>
      <c r="D51" s="308"/>
      <c r="E51" s="50" t="b">
        <v>0</v>
      </c>
      <c r="F51" s="308"/>
    </row>
    <row r="52">
      <c r="A52" s="308" t="s">
        <v>146</v>
      </c>
      <c r="B52" s="308"/>
      <c r="C52" s="476">
        <v>3.0</v>
      </c>
      <c r="D52" s="308"/>
      <c r="E52" s="50" t="b">
        <v>0</v>
      </c>
      <c r="F52" s="308"/>
    </row>
    <row r="53">
      <c r="A53" s="308" t="s">
        <v>510</v>
      </c>
      <c r="B53" s="308"/>
      <c r="C53" s="476">
        <v>2.0</v>
      </c>
      <c r="D53" s="308"/>
      <c r="E53" s="50" t="b">
        <v>0</v>
      </c>
      <c r="F53" s="308"/>
    </row>
    <row r="54">
      <c r="A54" s="313" t="s">
        <v>511</v>
      </c>
      <c r="B54" s="308"/>
      <c r="C54" s="476">
        <v>5.0</v>
      </c>
      <c r="D54" s="308"/>
      <c r="E54" s="50" t="b">
        <v>0</v>
      </c>
      <c r="F54" s="308"/>
    </row>
    <row r="55">
      <c r="A55" s="308" t="s">
        <v>168</v>
      </c>
      <c r="B55" s="308"/>
      <c r="C55" s="476">
        <v>2.5</v>
      </c>
      <c r="D55" s="308"/>
      <c r="E55" s="50" t="b">
        <v>0</v>
      </c>
      <c r="F55" s="308"/>
    </row>
    <row r="56">
      <c r="A56" s="308" t="s">
        <v>467</v>
      </c>
      <c r="B56" s="308"/>
      <c r="C56" s="476">
        <v>5.0</v>
      </c>
      <c r="D56" s="308"/>
      <c r="E56" s="50" t="b">
        <v>0</v>
      </c>
      <c r="F56" s="308"/>
    </row>
    <row r="57">
      <c r="A57" s="308"/>
      <c r="B57" s="308"/>
      <c r="C57" s="476"/>
      <c r="D57" s="308"/>
      <c r="E57" s="308"/>
      <c r="F57" s="308"/>
    </row>
    <row r="58">
      <c r="A58" s="441" t="s">
        <v>512</v>
      </c>
      <c r="B58" s="441"/>
      <c r="C58" s="441"/>
      <c r="D58" s="441"/>
      <c r="E58" s="308"/>
      <c r="F58" s="308"/>
    </row>
    <row r="59">
      <c r="A59" s="441"/>
      <c r="B59" s="441"/>
      <c r="C59" s="441"/>
      <c r="D59" s="441"/>
      <c r="E59" s="308"/>
      <c r="F59" s="308"/>
    </row>
    <row r="60">
      <c r="A60" s="441" t="s">
        <v>420</v>
      </c>
      <c r="E60" s="308"/>
      <c r="F60" s="308"/>
    </row>
    <row r="61">
      <c r="A61" s="477" t="s">
        <v>421</v>
      </c>
      <c r="B61" s="331"/>
      <c r="C61" s="478"/>
      <c r="D61" s="308"/>
      <c r="E61" s="308"/>
      <c r="F61" s="308"/>
    </row>
    <row r="62">
      <c r="A62" s="479" t="s">
        <v>513</v>
      </c>
      <c r="B62" s="331"/>
      <c r="C62" s="478"/>
      <c r="D62" s="308"/>
      <c r="E62" s="308"/>
      <c r="F62" s="308"/>
    </row>
    <row r="63">
      <c r="A63" s="480" t="s">
        <v>514</v>
      </c>
      <c r="B63" s="331"/>
      <c r="C63" s="478"/>
      <c r="D63" s="308"/>
      <c r="E63" s="481"/>
      <c r="F63" s="308"/>
    </row>
    <row r="64">
      <c r="A64" s="308"/>
      <c r="B64" s="308"/>
      <c r="C64" s="312"/>
      <c r="D64" s="308"/>
      <c r="E64" s="308"/>
      <c r="F64" s="308"/>
    </row>
    <row r="66">
      <c r="A66" s="482" t="s">
        <v>475</v>
      </c>
      <c r="B66" s="157"/>
      <c r="C66" s="157"/>
      <c r="D66" s="157"/>
      <c r="E66" s="58"/>
      <c r="F66" s="58"/>
    </row>
    <row r="67">
      <c r="A67" s="2"/>
      <c r="B67" s="2"/>
      <c r="C67" s="2"/>
      <c r="D67" s="2"/>
      <c r="E67" s="2"/>
      <c r="F67" s="2"/>
    </row>
    <row r="68">
      <c r="A68" s="483" t="s">
        <v>515</v>
      </c>
    </row>
    <row r="69">
      <c r="A69" s="483" t="s">
        <v>477</v>
      </c>
    </row>
    <row r="70">
      <c r="A70" s="483" t="s">
        <v>478</v>
      </c>
    </row>
  </sheetData>
  <mergeCells count="38">
    <mergeCell ref="A1:F1"/>
    <mergeCell ref="B4:C4"/>
    <mergeCell ref="A5:A7"/>
    <mergeCell ref="B5:C5"/>
    <mergeCell ref="D5:D7"/>
    <mergeCell ref="E5:E7"/>
    <mergeCell ref="F5:F7"/>
    <mergeCell ref="B6:C6"/>
    <mergeCell ref="B7:C7"/>
    <mergeCell ref="A8:A10"/>
    <mergeCell ref="B8:C8"/>
    <mergeCell ref="D8:D10"/>
    <mergeCell ref="E8:E10"/>
    <mergeCell ref="F8:F10"/>
    <mergeCell ref="B9:C9"/>
    <mergeCell ref="B10:C10"/>
    <mergeCell ref="A11:A13"/>
    <mergeCell ref="B11:C11"/>
    <mergeCell ref="D11:D13"/>
    <mergeCell ref="E11:E13"/>
    <mergeCell ref="F11:F13"/>
    <mergeCell ref="B15:C15"/>
    <mergeCell ref="B16:C16"/>
    <mergeCell ref="A18:F18"/>
    <mergeCell ref="A27:F28"/>
    <mergeCell ref="A46:F46"/>
    <mergeCell ref="A47:F47"/>
    <mergeCell ref="A60:D60"/>
    <mergeCell ref="A68:F68"/>
    <mergeCell ref="A69:F69"/>
    <mergeCell ref="A70:F70"/>
    <mergeCell ref="B12:C12"/>
    <mergeCell ref="B13:C13"/>
    <mergeCell ref="A14:A16"/>
    <mergeCell ref="B14:C14"/>
    <mergeCell ref="D14:D16"/>
    <mergeCell ref="E14:E16"/>
    <mergeCell ref="F14:F1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06" t="s">
        <v>516</v>
      </c>
    </row>
    <row r="2">
      <c r="A2" s="3"/>
      <c r="B2" s="4"/>
      <c r="C2" s="4"/>
      <c r="D2" s="360" t="s">
        <v>517</v>
      </c>
      <c r="E2" s="6"/>
      <c r="F2" s="6"/>
    </row>
    <row r="3">
      <c r="A3" s="238" t="s">
        <v>2</v>
      </c>
      <c r="B3" s="239" t="s">
        <v>3</v>
      </c>
      <c r="C3" s="240"/>
      <c r="D3" s="241" t="s">
        <v>4</v>
      </c>
      <c r="E3" s="241" t="s">
        <v>5</v>
      </c>
      <c r="F3" s="241" t="s">
        <v>6</v>
      </c>
    </row>
    <row r="4">
      <c r="A4" s="484" t="s">
        <v>7</v>
      </c>
      <c r="B4" s="13" t="s">
        <v>8</v>
      </c>
      <c r="C4" s="14"/>
      <c r="D4" s="15"/>
      <c r="E4" s="15"/>
      <c r="F4" s="15"/>
    </row>
    <row r="5">
      <c r="A5" s="16"/>
      <c r="C5" s="14"/>
      <c r="D5" s="18"/>
      <c r="E5" s="18"/>
      <c r="F5" s="18"/>
    </row>
    <row r="6">
      <c r="A6" s="20"/>
      <c r="B6" s="9"/>
      <c r="C6" s="21"/>
      <c r="D6" s="29"/>
      <c r="E6" s="29"/>
      <c r="F6" s="29"/>
    </row>
    <row r="7">
      <c r="A7" s="22" t="s">
        <v>9</v>
      </c>
      <c r="B7" s="485" t="s">
        <v>518</v>
      </c>
      <c r="C7" s="18"/>
      <c r="D7" s="24"/>
      <c r="E7" s="24"/>
      <c r="F7" s="24"/>
    </row>
    <row r="8">
      <c r="A8" s="25"/>
      <c r="C8" s="18"/>
      <c r="D8" s="14"/>
      <c r="E8" s="14"/>
      <c r="F8" s="14"/>
    </row>
    <row r="9">
      <c r="A9" s="27"/>
      <c r="B9" s="9"/>
      <c r="C9" s="29"/>
      <c r="D9" s="21"/>
      <c r="E9" s="21"/>
      <c r="F9" s="21"/>
    </row>
    <row r="10">
      <c r="A10" s="486" t="s">
        <v>11</v>
      </c>
      <c r="B10" s="31" t="s">
        <v>12</v>
      </c>
      <c r="C10" s="14"/>
      <c r="D10" s="32"/>
      <c r="E10" s="32"/>
      <c r="F10" s="32"/>
    </row>
    <row r="11">
      <c r="A11" s="3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225" t="s">
        <v>519</v>
      </c>
      <c r="B13" s="35"/>
      <c r="C13" s="35"/>
      <c r="D13" s="35"/>
      <c r="E13" s="35"/>
      <c r="F13" s="35"/>
    </row>
    <row r="14">
      <c r="A14" s="45" t="s">
        <v>15</v>
      </c>
      <c r="B14" s="118"/>
      <c r="C14" s="46" t="s">
        <v>16</v>
      </c>
      <c r="D14" s="35"/>
      <c r="E14" s="127"/>
      <c r="F14" s="35"/>
    </row>
    <row r="15">
      <c r="A15" s="225" t="s">
        <v>520</v>
      </c>
      <c r="B15" s="35"/>
      <c r="C15" s="79">
        <v>21.0</v>
      </c>
      <c r="D15" s="35"/>
      <c r="E15" s="110" t="b">
        <v>0</v>
      </c>
      <c r="F15" s="35"/>
    </row>
    <row r="16">
      <c r="A16" s="35" t="s">
        <v>521</v>
      </c>
      <c r="B16" s="35"/>
      <c r="C16" s="79">
        <v>6.0</v>
      </c>
      <c r="D16" s="35"/>
      <c r="E16" s="50" t="b">
        <v>0</v>
      </c>
      <c r="F16" s="35"/>
    </row>
    <row r="17">
      <c r="A17" s="35" t="s">
        <v>522</v>
      </c>
      <c r="B17" s="35"/>
      <c r="C17" s="79">
        <v>6.0</v>
      </c>
      <c r="D17" s="35"/>
      <c r="E17" s="50" t="b">
        <v>0</v>
      </c>
      <c r="F17" s="35"/>
    </row>
    <row r="18">
      <c r="A18" s="225" t="s">
        <v>523</v>
      </c>
      <c r="B18" s="35"/>
      <c r="C18" s="79">
        <v>21.0</v>
      </c>
      <c r="D18" s="35"/>
      <c r="E18" s="50" t="b">
        <v>0</v>
      </c>
      <c r="F18" s="35"/>
    </row>
    <row r="19">
      <c r="A19" s="35" t="s">
        <v>510</v>
      </c>
      <c r="B19" s="35"/>
      <c r="C19" s="79">
        <v>6.0</v>
      </c>
      <c r="D19" s="35"/>
      <c r="E19" s="50" t="b">
        <v>0</v>
      </c>
      <c r="F19" s="35"/>
    </row>
    <row r="20">
      <c r="A20" s="35"/>
      <c r="B20" s="35"/>
      <c r="C20" s="35"/>
      <c r="D20" s="35"/>
      <c r="E20" s="35"/>
      <c r="F20" s="35"/>
    </row>
    <row r="21">
      <c r="A21" s="2"/>
      <c r="B21" s="2"/>
      <c r="C21" s="2"/>
      <c r="D21" s="2"/>
      <c r="E21" s="2"/>
      <c r="F21" s="2"/>
    </row>
    <row r="22">
      <c r="A22" s="228" t="s">
        <v>524</v>
      </c>
      <c r="B22" s="58"/>
      <c r="C22" s="58"/>
      <c r="D22" s="58"/>
      <c r="E22" s="58"/>
      <c r="F22" s="58"/>
    </row>
    <row r="23">
      <c r="A23" s="2"/>
      <c r="B23" s="2"/>
      <c r="C23" s="2"/>
      <c r="D23" s="2"/>
      <c r="E23" s="2"/>
      <c r="F23" s="2"/>
    </row>
    <row r="24">
      <c r="A24" s="59" t="s">
        <v>525</v>
      </c>
      <c r="B24" s="60"/>
      <c r="C24" s="60"/>
      <c r="D24" s="60"/>
      <c r="E24" s="60"/>
      <c r="F24" s="60"/>
    </row>
    <row r="25">
      <c r="A25" s="59" t="s">
        <v>526</v>
      </c>
      <c r="B25" s="60"/>
      <c r="C25" s="60"/>
      <c r="D25" s="60"/>
      <c r="E25" s="60"/>
      <c r="F25" s="60"/>
    </row>
  </sheetData>
  <mergeCells count="17">
    <mergeCell ref="A1:F1"/>
    <mergeCell ref="B3:C3"/>
    <mergeCell ref="A4:A6"/>
    <mergeCell ref="B4:C6"/>
    <mergeCell ref="D4:D6"/>
    <mergeCell ref="E4:E6"/>
    <mergeCell ref="F4:F6"/>
    <mergeCell ref="D10:D11"/>
    <mergeCell ref="E10:E11"/>
    <mergeCell ref="A7:A9"/>
    <mergeCell ref="B7:C9"/>
    <mergeCell ref="D7:D9"/>
    <mergeCell ref="E7:E9"/>
    <mergeCell ref="F7:F9"/>
    <mergeCell ref="A10:A11"/>
    <mergeCell ref="B10:C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06" t="s">
        <v>527</v>
      </c>
    </row>
    <row r="2">
      <c r="A2" s="3"/>
      <c r="B2" s="4"/>
      <c r="C2" s="4"/>
      <c r="D2" s="6"/>
      <c r="E2" s="6"/>
      <c r="F2" s="6"/>
    </row>
    <row r="3">
      <c r="A3" s="7" t="s">
        <v>2</v>
      </c>
      <c r="B3" s="8" t="s">
        <v>3</v>
      </c>
      <c r="C3" s="9"/>
      <c r="D3" s="10" t="s">
        <v>4</v>
      </c>
      <c r="E3" s="10" t="s">
        <v>5</v>
      </c>
      <c r="F3" s="11" t="s">
        <v>6</v>
      </c>
    </row>
    <row r="4">
      <c r="A4" s="12" t="s">
        <v>7</v>
      </c>
      <c r="B4" s="13" t="s">
        <v>8</v>
      </c>
      <c r="C4" s="14"/>
      <c r="D4" s="15"/>
      <c r="E4" s="15"/>
      <c r="F4" s="15"/>
    </row>
    <row r="5">
      <c r="A5" s="16"/>
      <c r="C5" s="14"/>
      <c r="D5" s="17"/>
      <c r="E5" s="15"/>
      <c r="F5" s="18"/>
    </row>
    <row r="6">
      <c r="A6" s="20"/>
      <c r="B6" s="9"/>
      <c r="C6" s="21"/>
      <c r="D6" s="18"/>
      <c r="E6" s="18"/>
      <c r="F6" s="18"/>
    </row>
    <row r="7">
      <c r="A7" s="68" t="s">
        <v>9</v>
      </c>
      <c r="B7" s="23"/>
      <c r="C7" s="18"/>
      <c r="D7" s="24"/>
      <c r="E7" s="24"/>
      <c r="F7" s="24"/>
    </row>
    <row r="8">
      <c r="A8" s="25"/>
      <c r="B8" s="26" t="s">
        <v>10</v>
      </c>
      <c r="C8" s="18"/>
      <c r="D8" s="14"/>
      <c r="E8" s="14"/>
      <c r="F8" s="14"/>
    </row>
    <row r="9">
      <c r="A9" s="27"/>
      <c r="B9" s="28"/>
      <c r="C9" s="29"/>
      <c r="D9" s="21"/>
      <c r="E9" s="21"/>
      <c r="F9" s="21"/>
    </row>
    <row r="10">
      <c r="A10" s="30" t="s">
        <v>11</v>
      </c>
      <c r="B10" s="31" t="s">
        <v>12</v>
      </c>
      <c r="C10" s="14"/>
      <c r="D10" s="32"/>
      <c r="E10" s="32"/>
      <c r="F10" s="32"/>
    </row>
    <row r="11">
      <c r="A11" s="3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126" t="s">
        <v>528</v>
      </c>
    </row>
    <row r="14">
      <c r="A14" s="225" t="s">
        <v>529</v>
      </c>
      <c r="B14" s="35"/>
      <c r="C14" s="35"/>
      <c r="D14" s="35"/>
      <c r="E14" s="35"/>
      <c r="F14" s="35"/>
    </row>
    <row r="15">
      <c r="A15" s="45" t="s">
        <v>15</v>
      </c>
      <c r="B15" s="118"/>
      <c r="C15" s="46" t="s">
        <v>16</v>
      </c>
      <c r="D15" s="35"/>
      <c r="E15" s="35"/>
      <c r="F15" s="35"/>
    </row>
    <row r="16">
      <c r="A16" s="225" t="s">
        <v>530</v>
      </c>
      <c r="B16" s="35"/>
      <c r="C16" s="79">
        <v>1.0</v>
      </c>
      <c r="D16" s="35"/>
      <c r="E16" s="50" t="b">
        <v>0</v>
      </c>
      <c r="F16" s="35"/>
    </row>
    <row r="17">
      <c r="A17" s="35" t="s">
        <v>531</v>
      </c>
      <c r="B17" s="35"/>
      <c r="C17" s="79">
        <v>0.25</v>
      </c>
      <c r="D17" s="35"/>
      <c r="E17" s="50" t="b">
        <v>0</v>
      </c>
      <c r="F17" s="35"/>
    </row>
    <row r="18">
      <c r="A18" s="35" t="s">
        <v>532</v>
      </c>
      <c r="B18" s="35"/>
      <c r="C18" s="79">
        <v>1.0</v>
      </c>
      <c r="D18" s="35"/>
      <c r="E18" s="50" t="b">
        <v>0</v>
      </c>
      <c r="F18" s="35"/>
    </row>
    <row r="19">
      <c r="A19" s="35" t="s">
        <v>533</v>
      </c>
      <c r="B19" s="35"/>
      <c r="C19" s="79">
        <v>1.0</v>
      </c>
      <c r="D19" s="35"/>
      <c r="E19" s="50" t="b">
        <v>0</v>
      </c>
      <c r="F19" s="35"/>
    </row>
    <row r="20">
      <c r="A20" s="35" t="s">
        <v>534</v>
      </c>
      <c r="B20" s="35"/>
      <c r="C20" s="79">
        <v>2.5</v>
      </c>
      <c r="D20" s="35"/>
      <c r="E20" s="50" t="b">
        <v>0</v>
      </c>
      <c r="F20" s="35"/>
    </row>
    <row r="21">
      <c r="A21" s="35" t="s">
        <v>535</v>
      </c>
      <c r="B21" s="35"/>
      <c r="C21" s="79">
        <v>1.0</v>
      </c>
      <c r="D21" s="35"/>
      <c r="E21" s="50" t="b">
        <v>0</v>
      </c>
      <c r="F21" s="35"/>
    </row>
    <row r="22">
      <c r="A22" s="35" t="s">
        <v>222</v>
      </c>
      <c r="B22" s="35"/>
      <c r="C22" s="79">
        <v>0.75</v>
      </c>
      <c r="D22" s="35"/>
      <c r="E22" s="50" t="b">
        <v>0</v>
      </c>
      <c r="F22" s="35"/>
    </row>
    <row r="23">
      <c r="A23" s="35" t="s">
        <v>536</v>
      </c>
      <c r="B23" s="35"/>
      <c r="C23" s="79">
        <v>1.0</v>
      </c>
      <c r="D23" s="35"/>
      <c r="E23" s="50" t="b">
        <v>0</v>
      </c>
      <c r="F23" s="35"/>
    </row>
    <row r="24">
      <c r="A24" s="35" t="s">
        <v>537</v>
      </c>
      <c r="B24" s="35"/>
      <c r="C24" s="79">
        <v>2.0</v>
      </c>
      <c r="D24" s="35"/>
      <c r="E24" s="50" t="b">
        <v>0</v>
      </c>
      <c r="F24" s="35"/>
    </row>
    <row r="25">
      <c r="A25" s="487" t="s">
        <v>538</v>
      </c>
      <c r="B25" s="35"/>
      <c r="C25" s="79">
        <v>2.0</v>
      </c>
      <c r="D25" s="35"/>
      <c r="E25" s="50" t="b">
        <v>0</v>
      </c>
      <c r="F25" s="35"/>
    </row>
    <row r="26">
      <c r="A26" s="35" t="s">
        <v>539</v>
      </c>
      <c r="B26" s="35"/>
      <c r="C26" s="79">
        <v>1.0</v>
      </c>
      <c r="D26" s="35"/>
      <c r="E26" s="50" t="b">
        <v>0</v>
      </c>
      <c r="F26" s="35"/>
    </row>
    <row r="27">
      <c r="A27" s="35" t="s">
        <v>540</v>
      </c>
      <c r="B27" s="35"/>
      <c r="C27" s="79">
        <v>3.5</v>
      </c>
      <c r="D27" s="35"/>
      <c r="E27" s="50" t="b">
        <v>0</v>
      </c>
      <c r="F27" s="35"/>
    </row>
    <row r="28">
      <c r="A28" s="35" t="s">
        <v>541</v>
      </c>
      <c r="B28" s="35"/>
      <c r="C28" s="79">
        <v>0.5</v>
      </c>
      <c r="D28" s="35"/>
      <c r="E28" s="50" t="b">
        <v>0</v>
      </c>
      <c r="F28" s="35"/>
    </row>
    <row r="29">
      <c r="A29" s="35" t="s">
        <v>542</v>
      </c>
      <c r="B29" s="35"/>
      <c r="C29" s="79">
        <v>2.5</v>
      </c>
      <c r="D29" s="35"/>
      <c r="E29" s="50" t="b">
        <v>0</v>
      </c>
      <c r="F29" s="35"/>
    </row>
    <row r="30">
      <c r="A30" s="35"/>
      <c r="B30" s="35"/>
      <c r="C30" s="35"/>
      <c r="D30" s="35"/>
      <c r="E30" s="35"/>
      <c r="F30" s="35"/>
    </row>
    <row r="31">
      <c r="A31" s="2"/>
      <c r="B31" s="2"/>
      <c r="C31" s="2"/>
      <c r="D31" s="2"/>
      <c r="E31" s="2"/>
      <c r="F31" s="2"/>
    </row>
    <row r="32">
      <c r="A32" s="488" t="s">
        <v>543</v>
      </c>
    </row>
    <row r="33">
      <c r="A33" s="228" t="s">
        <v>544</v>
      </c>
      <c r="B33" s="58"/>
      <c r="C33" s="58"/>
      <c r="D33" s="58"/>
      <c r="E33" s="58"/>
      <c r="F33" s="58"/>
    </row>
    <row r="34">
      <c r="A34" s="2"/>
      <c r="B34" s="2"/>
      <c r="C34" s="2"/>
      <c r="D34" s="2"/>
      <c r="E34" s="2"/>
      <c r="F34" s="2"/>
    </row>
    <row r="35">
      <c r="A35" s="59" t="s">
        <v>29</v>
      </c>
      <c r="B35" s="60"/>
      <c r="C35" s="60"/>
      <c r="D35" s="60"/>
      <c r="E35" s="60"/>
      <c r="F35" s="60"/>
    </row>
    <row r="36">
      <c r="A36" s="59" t="s">
        <v>30</v>
      </c>
      <c r="B36" s="60"/>
      <c r="C36" s="60"/>
      <c r="D36" s="60"/>
      <c r="E36" s="60"/>
      <c r="F36" s="60"/>
    </row>
    <row r="37">
      <c r="A37" s="2"/>
      <c r="B37" s="2"/>
      <c r="C37" s="2"/>
      <c r="D37" s="2"/>
      <c r="E37" s="2"/>
      <c r="F37" s="2"/>
    </row>
  </sheetData>
  <mergeCells count="21">
    <mergeCell ref="B4:C6"/>
    <mergeCell ref="B7:C7"/>
    <mergeCell ref="D7:D9"/>
    <mergeCell ref="E7:E9"/>
    <mergeCell ref="D10:D11"/>
    <mergeCell ref="E10:E11"/>
    <mergeCell ref="F10:F11"/>
    <mergeCell ref="A7:A9"/>
    <mergeCell ref="B8:C8"/>
    <mergeCell ref="B9:C9"/>
    <mergeCell ref="A10:A11"/>
    <mergeCell ref="B10:C11"/>
    <mergeCell ref="A13:F13"/>
    <mergeCell ref="A32:F32"/>
    <mergeCell ref="A1:F1"/>
    <mergeCell ref="B3:C3"/>
    <mergeCell ref="A4:A6"/>
    <mergeCell ref="F4:F6"/>
    <mergeCell ref="D5:D6"/>
    <mergeCell ref="E5:E6"/>
    <mergeCell ref="F7:F9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545</v>
      </c>
    </row>
    <row r="2">
      <c r="A2" s="489" t="s">
        <v>546</v>
      </c>
      <c r="B2" s="490"/>
      <c r="C2" s="490"/>
      <c r="D2" s="490"/>
      <c r="E2" s="490"/>
      <c r="F2" s="240"/>
    </row>
    <row r="3">
      <c r="A3" s="484" t="s">
        <v>7</v>
      </c>
      <c r="B3" s="362" t="s">
        <v>8</v>
      </c>
      <c r="C3" s="14"/>
      <c r="D3" s="491"/>
      <c r="E3" s="492"/>
      <c r="F3" s="244"/>
    </row>
    <row r="4">
      <c r="A4" s="16"/>
      <c r="C4" s="14"/>
      <c r="D4" s="366"/>
      <c r="F4" s="14"/>
    </row>
    <row r="5">
      <c r="A5" s="20"/>
      <c r="B5" s="9"/>
      <c r="C5" s="21"/>
      <c r="D5" s="367"/>
      <c r="E5" s="9"/>
      <c r="F5" s="21"/>
    </row>
    <row r="6">
      <c r="A6" s="22" t="s">
        <v>9</v>
      </c>
      <c r="B6" s="485" t="s">
        <v>10</v>
      </c>
      <c r="C6" s="18"/>
      <c r="D6" s="493"/>
      <c r="E6" s="492"/>
      <c r="F6" s="244"/>
    </row>
    <row r="7">
      <c r="A7" s="25"/>
      <c r="C7" s="18"/>
      <c r="D7" s="366"/>
      <c r="F7" s="14"/>
    </row>
    <row r="8">
      <c r="A8" s="27"/>
      <c r="C8" s="18"/>
      <c r="D8" s="367"/>
      <c r="E8" s="9"/>
      <c r="F8" s="21"/>
    </row>
    <row r="9">
      <c r="A9" s="486" t="s">
        <v>11</v>
      </c>
      <c r="B9" s="494" t="s">
        <v>547</v>
      </c>
      <c r="C9" s="244"/>
      <c r="D9" s="495"/>
      <c r="E9" s="492"/>
      <c r="F9" s="244"/>
    </row>
    <row r="10">
      <c r="A10" s="33"/>
      <c r="B10" s="367"/>
      <c r="C10" s="21"/>
      <c r="D10" s="367"/>
      <c r="E10" s="9"/>
      <c r="F10" s="21"/>
    </row>
    <row r="11">
      <c r="A11" s="2"/>
      <c r="B11" s="2"/>
      <c r="C11" s="2"/>
      <c r="D11" s="2"/>
      <c r="E11" s="2"/>
      <c r="F11" s="2"/>
    </row>
    <row r="12">
      <c r="A12" s="496" t="s">
        <v>548</v>
      </c>
      <c r="B12" s="35"/>
      <c r="C12" s="35"/>
      <c r="D12" s="35"/>
      <c r="E12" s="35"/>
      <c r="F12" s="35"/>
      <c r="G12" s="209"/>
      <c r="H12" s="209"/>
      <c r="I12" s="209"/>
    </row>
    <row r="13">
      <c r="A13" s="45" t="s">
        <v>15</v>
      </c>
      <c r="B13" s="118"/>
      <c r="C13" s="46" t="s">
        <v>16</v>
      </c>
      <c r="D13" s="35"/>
      <c r="E13" s="497" t="s">
        <v>450</v>
      </c>
      <c r="F13" s="35"/>
      <c r="G13" s="209"/>
      <c r="H13" s="209"/>
      <c r="I13" s="209"/>
      <c r="J13" s="209"/>
      <c r="K13" s="209"/>
    </row>
    <row r="14">
      <c r="A14" s="225" t="s">
        <v>530</v>
      </c>
      <c r="B14" s="35"/>
      <c r="C14" s="498">
        <v>1.5</v>
      </c>
      <c r="D14" s="35"/>
      <c r="E14" s="50" t="b">
        <v>0</v>
      </c>
      <c r="F14" s="35"/>
      <c r="G14" s="328"/>
      <c r="H14" s="499"/>
      <c r="I14" s="209"/>
      <c r="J14" s="209"/>
      <c r="K14" s="209"/>
    </row>
    <row r="15">
      <c r="A15" s="35" t="s">
        <v>531</v>
      </c>
      <c r="B15" s="35"/>
      <c r="C15" s="498">
        <v>0.6</v>
      </c>
      <c r="D15" s="35"/>
      <c r="E15" s="50" t="b">
        <v>0</v>
      </c>
      <c r="F15" s="35"/>
      <c r="G15" s="328"/>
      <c r="H15" s="499"/>
      <c r="I15" s="209"/>
      <c r="J15" s="209"/>
      <c r="K15" s="209"/>
    </row>
    <row r="16">
      <c r="A16" s="35" t="s">
        <v>532</v>
      </c>
      <c r="B16" s="35"/>
      <c r="C16" s="498">
        <v>1.5</v>
      </c>
      <c r="D16" s="35"/>
      <c r="E16" s="50" t="b">
        <v>0</v>
      </c>
      <c r="F16" s="35"/>
      <c r="G16" s="328"/>
      <c r="H16" s="499"/>
      <c r="I16" s="209"/>
      <c r="J16" s="209"/>
      <c r="K16" s="209"/>
    </row>
    <row r="17">
      <c r="A17" s="35" t="s">
        <v>533</v>
      </c>
      <c r="B17" s="35"/>
      <c r="C17" s="498">
        <v>1.5</v>
      </c>
      <c r="D17" s="35"/>
      <c r="E17" s="50" t="b">
        <v>0</v>
      </c>
      <c r="F17" s="35"/>
      <c r="G17" s="328"/>
      <c r="H17" s="499"/>
      <c r="I17" s="209"/>
      <c r="J17" s="209"/>
      <c r="K17" s="209"/>
    </row>
    <row r="18">
      <c r="A18" s="35" t="s">
        <v>534</v>
      </c>
      <c r="B18" s="35"/>
      <c r="C18" s="498">
        <v>3.0</v>
      </c>
      <c r="D18" s="35"/>
      <c r="E18" s="50" t="b">
        <v>0</v>
      </c>
      <c r="F18" s="35"/>
      <c r="G18" s="328"/>
      <c r="H18" s="499"/>
      <c r="I18" s="209"/>
      <c r="J18" s="209"/>
      <c r="K18" s="209"/>
    </row>
    <row r="19">
      <c r="A19" s="35" t="s">
        <v>222</v>
      </c>
      <c r="B19" s="35"/>
      <c r="C19" s="498">
        <v>1.5</v>
      </c>
      <c r="D19" s="35"/>
      <c r="E19" s="50" t="b">
        <v>0</v>
      </c>
      <c r="F19" s="35"/>
      <c r="G19" s="328"/>
      <c r="H19" s="499"/>
      <c r="I19" s="209"/>
      <c r="J19" s="209"/>
      <c r="K19" s="209"/>
    </row>
    <row r="20">
      <c r="A20" s="35" t="s">
        <v>536</v>
      </c>
      <c r="B20" s="35"/>
      <c r="C20" s="498">
        <v>1.5</v>
      </c>
      <c r="D20" s="35"/>
      <c r="E20" s="50" t="b">
        <v>0</v>
      </c>
      <c r="F20" s="35"/>
      <c r="G20" s="328"/>
      <c r="H20" s="499"/>
      <c r="I20" s="209"/>
      <c r="J20" s="209"/>
      <c r="K20" s="209"/>
    </row>
    <row r="21">
      <c r="A21" s="35" t="s">
        <v>537</v>
      </c>
      <c r="B21" s="35"/>
      <c r="C21" s="498">
        <v>3.0</v>
      </c>
      <c r="D21" s="35"/>
      <c r="E21" s="50" t="b">
        <v>0</v>
      </c>
      <c r="F21" s="35"/>
      <c r="G21" s="328"/>
      <c r="H21" s="499"/>
      <c r="I21" s="209"/>
      <c r="J21" s="209"/>
      <c r="K21" s="209"/>
    </row>
    <row r="22">
      <c r="A22" s="35" t="s">
        <v>539</v>
      </c>
      <c r="B22" s="35"/>
      <c r="C22" s="498">
        <v>1.5</v>
      </c>
      <c r="D22" s="35"/>
      <c r="E22" s="50" t="b">
        <v>0</v>
      </c>
      <c r="F22" s="35"/>
      <c r="G22" s="328"/>
      <c r="H22" s="499"/>
      <c r="I22" s="209"/>
      <c r="J22" s="209"/>
      <c r="K22" s="209"/>
    </row>
    <row r="23">
      <c r="A23" s="35" t="s">
        <v>540</v>
      </c>
      <c r="B23" s="35"/>
      <c r="C23" s="498">
        <v>4.5</v>
      </c>
      <c r="D23" s="35"/>
      <c r="E23" s="50" t="b">
        <v>0</v>
      </c>
      <c r="F23" s="35"/>
      <c r="G23" s="328"/>
      <c r="H23" s="499"/>
      <c r="I23" s="209"/>
      <c r="J23" s="209"/>
      <c r="K23" s="209"/>
    </row>
    <row r="24">
      <c r="A24" s="35" t="s">
        <v>541</v>
      </c>
      <c r="B24" s="35"/>
      <c r="C24" s="498">
        <v>0.9</v>
      </c>
      <c r="D24" s="35"/>
      <c r="E24" s="50" t="b">
        <v>0</v>
      </c>
      <c r="F24" s="35"/>
      <c r="G24" s="328"/>
      <c r="H24" s="499"/>
      <c r="I24" s="209"/>
      <c r="J24" s="209"/>
      <c r="K24" s="209"/>
    </row>
    <row r="25">
      <c r="A25" s="35" t="s">
        <v>542</v>
      </c>
      <c r="B25" s="35"/>
      <c r="C25" s="498">
        <v>6.0</v>
      </c>
      <c r="D25" s="35"/>
      <c r="E25" s="50" t="b">
        <v>0</v>
      </c>
      <c r="F25" s="35"/>
      <c r="G25" s="328"/>
      <c r="H25" s="499"/>
      <c r="I25" s="209"/>
      <c r="J25" s="209"/>
      <c r="K25" s="209"/>
    </row>
    <row r="26">
      <c r="A26" s="500" t="s">
        <v>549</v>
      </c>
      <c r="B26" s="35"/>
      <c r="C26" s="498">
        <v>3.0</v>
      </c>
      <c r="D26" s="35"/>
      <c r="E26" s="50" t="b">
        <v>0</v>
      </c>
      <c r="F26" s="35"/>
      <c r="G26" s="328"/>
      <c r="H26" s="499"/>
      <c r="I26" s="209"/>
      <c r="J26" s="209"/>
      <c r="K26" s="209"/>
    </row>
    <row r="27">
      <c r="A27" s="35"/>
      <c r="B27" s="35"/>
      <c r="C27" s="35"/>
      <c r="D27" s="35"/>
      <c r="E27" s="35"/>
      <c r="F27" s="35"/>
      <c r="G27" s="209"/>
      <c r="H27" s="209"/>
      <c r="I27" s="209"/>
      <c r="J27" s="209"/>
      <c r="K27" s="209"/>
    </row>
    <row r="28">
      <c r="A28" s="2"/>
      <c r="B28" s="2"/>
      <c r="C28" s="2"/>
      <c r="D28" s="2"/>
      <c r="E28" s="2"/>
      <c r="F28" s="2"/>
      <c r="G28" s="209"/>
      <c r="H28" s="209"/>
      <c r="I28" s="209"/>
    </row>
    <row r="29">
      <c r="A29" s="488" t="s">
        <v>543</v>
      </c>
      <c r="G29" s="209"/>
      <c r="H29" s="209"/>
      <c r="I29" s="209"/>
    </row>
    <row r="30">
      <c r="A30" s="228" t="s">
        <v>544</v>
      </c>
      <c r="B30" s="58"/>
      <c r="C30" s="58"/>
      <c r="D30" s="58"/>
      <c r="E30" s="58"/>
      <c r="F30" s="58"/>
      <c r="G30" s="209"/>
      <c r="H30" s="209"/>
      <c r="I30" s="209"/>
    </row>
    <row r="31">
      <c r="A31" s="2"/>
      <c r="B31" s="2"/>
      <c r="C31" s="2"/>
      <c r="D31" s="2"/>
      <c r="E31" s="2"/>
      <c r="F31" s="2"/>
    </row>
    <row r="32">
      <c r="A32" s="501" t="s">
        <v>550</v>
      </c>
      <c r="B32" s="60"/>
      <c r="C32" s="60"/>
      <c r="D32" s="60"/>
      <c r="E32" s="60"/>
      <c r="F32" s="60"/>
    </row>
    <row r="33">
      <c r="A33" s="501" t="s">
        <v>551</v>
      </c>
    </row>
    <row r="34">
      <c r="A34" s="2"/>
      <c r="B34" s="2"/>
      <c r="C34" s="2"/>
      <c r="D34" s="2"/>
      <c r="E34" s="2"/>
      <c r="F34" s="2"/>
    </row>
  </sheetData>
  <mergeCells count="13">
    <mergeCell ref="A6:A8"/>
    <mergeCell ref="A9:A10"/>
    <mergeCell ref="B9:C10"/>
    <mergeCell ref="D9:F10"/>
    <mergeCell ref="A29:F29"/>
    <mergeCell ref="A33:F33"/>
    <mergeCell ref="A1:F1"/>
    <mergeCell ref="A2:F2"/>
    <mergeCell ref="A3:A5"/>
    <mergeCell ref="B3:C5"/>
    <mergeCell ref="D3:F5"/>
    <mergeCell ref="B6:C8"/>
    <mergeCell ref="D6:F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6" t="s">
        <v>552</v>
      </c>
    </row>
    <row r="2">
      <c r="A2" s="3"/>
      <c r="B2" s="4"/>
      <c r="C2" s="502" t="s">
        <v>553</v>
      </c>
      <c r="D2" s="6"/>
      <c r="E2" s="6"/>
      <c r="F2" s="6"/>
    </row>
    <row r="3">
      <c r="A3" s="7" t="s">
        <v>2</v>
      </c>
      <c r="B3" s="8" t="s">
        <v>3</v>
      </c>
      <c r="C3" s="9"/>
      <c r="D3" s="10" t="s">
        <v>4</v>
      </c>
      <c r="E3" s="10" t="s">
        <v>5</v>
      </c>
      <c r="F3" s="11" t="s">
        <v>6</v>
      </c>
    </row>
    <row r="4">
      <c r="A4" s="484" t="s">
        <v>7</v>
      </c>
      <c r="B4" s="362" t="s">
        <v>8</v>
      </c>
      <c r="C4" s="14"/>
      <c r="D4" s="15"/>
      <c r="E4" s="15"/>
      <c r="F4" s="15"/>
    </row>
    <row r="5">
      <c r="A5" s="16"/>
      <c r="C5" s="14"/>
      <c r="D5" s="18"/>
      <c r="E5" s="18"/>
      <c r="F5" s="18"/>
    </row>
    <row r="6">
      <c r="A6" s="20"/>
      <c r="B6" s="9"/>
      <c r="C6" s="21"/>
      <c r="D6" s="29"/>
      <c r="E6" s="29"/>
      <c r="F6" s="29"/>
    </row>
    <row r="7">
      <c r="A7" s="22" t="s">
        <v>9</v>
      </c>
      <c r="B7" s="485" t="s">
        <v>10</v>
      </c>
      <c r="C7" s="18"/>
      <c r="D7" s="24"/>
      <c r="E7" s="24"/>
      <c r="F7" s="24"/>
    </row>
    <row r="8">
      <c r="A8" s="25"/>
      <c r="C8" s="18"/>
      <c r="D8" s="14"/>
      <c r="E8" s="14"/>
      <c r="F8" s="14"/>
    </row>
    <row r="9">
      <c r="A9" s="27"/>
      <c r="B9" s="9"/>
      <c r="C9" s="29"/>
      <c r="D9" s="21"/>
      <c r="E9" s="21"/>
      <c r="F9" s="21"/>
    </row>
    <row r="10">
      <c r="A10" s="486" t="s">
        <v>11</v>
      </c>
      <c r="B10" s="215" t="s">
        <v>12</v>
      </c>
      <c r="C10" s="14"/>
      <c r="D10" s="32"/>
      <c r="E10" s="32"/>
      <c r="F10" s="32"/>
    </row>
    <row r="11">
      <c r="A11" s="3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496" t="s">
        <v>554</v>
      </c>
      <c r="B13" s="35"/>
      <c r="C13" s="35"/>
      <c r="D13" s="35"/>
      <c r="E13" s="35"/>
      <c r="F13" s="35"/>
    </row>
    <row r="14">
      <c r="A14" s="45" t="s">
        <v>15</v>
      </c>
      <c r="B14" s="118"/>
      <c r="C14" s="46" t="s">
        <v>16</v>
      </c>
      <c r="D14" s="497" t="s">
        <v>555</v>
      </c>
      <c r="E14" s="497"/>
      <c r="F14" s="35"/>
    </row>
    <row r="15">
      <c r="A15" s="35" t="s">
        <v>556</v>
      </c>
      <c r="B15" s="35"/>
      <c r="C15" s="290">
        <v>3.0</v>
      </c>
      <c r="D15" s="50" t="b">
        <v>0</v>
      </c>
      <c r="E15" s="232"/>
      <c r="F15" s="35"/>
    </row>
    <row r="16">
      <c r="A16" s="35" t="s">
        <v>557</v>
      </c>
      <c r="B16" s="35"/>
      <c r="C16" s="290">
        <v>1.5</v>
      </c>
      <c r="D16" s="50" t="b">
        <v>0</v>
      </c>
      <c r="E16" s="232"/>
      <c r="F16" s="35"/>
    </row>
    <row r="17">
      <c r="A17" s="35" t="s">
        <v>558</v>
      </c>
      <c r="B17" s="35"/>
      <c r="C17" s="290">
        <v>6.0</v>
      </c>
      <c r="D17" s="50" t="b">
        <v>0</v>
      </c>
      <c r="E17" s="232"/>
      <c r="F17" s="35"/>
    </row>
    <row r="18">
      <c r="A18" s="35" t="s">
        <v>533</v>
      </c>
      <c r="B18" s="35"/>
      <c r="C18" s="290">
        <v>6.0</v>
      </c>
      <c r="D18" s="50" t="b">
        <v>0</v>
      </c>
      <c r="E18" s="232"/>
      <c r="F18" s="35"/>
    </row>
    <row r="19">
      <c r="A19" s="35" t="s">
        <v>541</v>
      </c>
      <c r="B19" s="35"/>
      <c r="C19" s="290">
        <v>4.5</v>
      </c>
      <c r="D19" s="50" t="b">
        <v>0</v>
      </c>
      <c r="E19" s="232"/>
      <c r="F19" s="35"/>
    </row>
    <row r="20">
      <c r="A20" s="35" t="s">
        <v>559</v>
      </c>
      <c r="B20" s="35"/>
      <c r="C20" s="290">
        <v>18.0</v>
      </c>
      <c r="D20" s="50" t="b">
        <v>0</v>
      </c>
      <c r="E20" s="232"/>
      <c r="F20" s="35"/>
    </row>
    <row r="21">
      <c r="A21" s="35" t="s">
        <v>560</v>
      </c>
      <c r="B21" s="35"/>
      <c r="C21" s="290">
        <v>1.5</v>
      </c>
      <c r="D21" s="50" t="b">
        <v>0</v>
      </c>
      <c r="E21" s="232"/>
      <c r="F21" s="35"/>
    </row>
    <row r="22">
      <c r="A22" s="35" t="s">
        <v>561</v>
      </c>
      <c r="B22" s="35"/>
      <c r="C22" s="290">
        <v>6.0</v>
      </c>
      <c r="D22" s="50" t="b">
        <v>0</v>
      </c>
      <c r="E22" s="232"/>
      <c r="F22" s="35"/>
    </row>
    <row r="23">
      <c r="A23" s="225" t="s">
        <v>562</v>
      </c>
      <c r="B23" s="35"/>
      <c r="C23" s="290">
        <v>7.5</v>
      </c>
      <c r="D23" s="50" t="b">
        <v>0</v>
      </c>
      <c r="E23" s="232"/>
      <c r="F23" s="35"/>
    </row>
    <row r="24">
      <c r="A24" s="35" t="s">
        <v>563</v>
      </c>
      <c r="B24" s="35"/>
      <c r="C24" s="290">
        <v>3.0</v>
      </c>
      <c r="D24" s="50" t="b">
        <v>0</v>
      </c>
      <c r="E24" s="232"/>
      <c r="F24" s="35"/>
    </row>
    <row r="25">
      <c r="A25" s="35" t="s">
        <v>564</v>
      </c>
      <c r="B25" s="35"/>
      <c r="C25" s="290">
        <v>3.0</v>
      </c>
      <c r="D25" s="50" t="b">
        <v>0</v>
      </c>
      <c r="E25" s="232"/>
      <c r="F25" s="35"/>
    </row>
    <row r="26">
      <c r="A26" s="37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488" t="s">
        <v>543</v>
      </c>
    </row>
    <row r="31">
      <c r="A31" s="228" t="s">
        <v>544</v>
      </c>
      <c r="B31" s="58"/>
      <c r="C31" s="58"/>
      <c r="D31" s="58"/>
      <c r="E31" s="58"/>
      <c r="F31" s="58"/>
    </row>
    <row r="32">
      <c r="A32" s="2"/>
      <c r="B32" s="2"/>
      <c r="C32" s="2"/>
      <c r="D32" s="2"/>
      <c r="E32" s="2"/>
      <c r="F32" s="2"/>
    </row>
    <row r="33">
      <c r="A33" s="501" t="s">
        <v>550</v>
      </c>
      <c r="B33" s="60"/>
      <c r="C33" s="60"/>
      <c r="D33" s="60"/>
      <c r="E33" s="60"/>
      <c r="F33" s="60"/>
    </row>
    <row r="34">
      <c r="A34" s="501" t="s">
        <v>551</v>
      </c>
    </row>
    <row r="35">
      <c r="A35" s="2"/>
      <c r="B35" s="2"/>
      <c r="C35" s="2"/>
      <c r="D35" s="2"/>
      <c r="E35" s="2"/>
      <c r="F35" s="2"/>
    </row>
  </sheetData>
  <mergeCells count="20">
    <mergeCell ref="A1:F1"/>
    <mergeCell ref="B3:C3"/>
    <mergeCell ref="A4:A6"/>
    <mergeCell ref="B4:C6"/>
    <mergeCell ref="D4:D6"/>
    <mergeCell ref="E4:E6"/>
    <mergeCell ref="F4:F6"/>
    <mergeCell ref="D10:D11"/>
    <mergeCell ref="E10:E11"/>
    <mergeCell ref="B10:C11"/>
    <mergeCell ref="A26:F26"/>
    <mergeCell ref="A30:F30"/>
    <mergeCell ref="A34:F34"/>
    <mergeCell ref="A7:A9"/>
    <mergeCell ref="B7:C9"/>
    <mergeCell ref="D7:D9"/>
    <mergeCell ref="E7:E9"/>
    <mergeCell ref="F7:F9"/>
    <mergeCell ref="A10:A11"/>
    <mergeCell ref="F10:F1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565</v>
      </c>
    </row>
    <row r="2">
      <c r="A2" s="489" t="s">
        <v>546</v>
      </c>
      <c r="B2" s="490"/>
      <c r="C2" s="490"/>
      <c r="D2" s="490"/>
      <c r="E2" s="490"/>
      <c r="F2" s="240"/>
    </row>
    <row r="3">
      <c r="A3" s="484" t="s">
        <v>7</v>
      </c>
      <c r="B3" s="362" t="s">
        <v>8</v>
      </c>
      <c r="C3" s="14"/>
      <c r="D3" s="503"/>
      <c r="F3" s="18"/>
    </row>
    <row r="4">
      <c r="A4" s="16"/>
      <c r="C4" s="14"/>
      <c r="F4" s="18"/>
    </row>
    <row r="5">
      <c r="A5" s="20"/>
      <c r="B5" s="9"/>
      <c r="C5" s="21"/>
      <c r="D5" s="9"/>
      <c r="E5" s="9"/>
      <c r="F5" s="29"/>
    </row>
    <row r="6">
      <c r="A6" s="22" t="s">
        <v>9</v>
      </c>
      <c r="B6" s="485" t="s">
        <v>10</v>
      </c>
      <c r="C6" s="18"/>
      <c r="D6" s="504"/>
      <c r="F6" s="14"/>
    </row>
    <row r="7">
      <c r="A7" s="25"/>
      <c r="C7" s="18"/>
      <c r="F7" s="14"/>
    </row>
    <row r="8">
      <c r="A8" s="27"/>
      <c r="B8" s="9"/>
      <c r="C8" s="29"/>
      <c r="D8" s="9"/>
      <c r="E8" s="9"/>
      <c r="F8" s="21"/>
    </row>
    <row r="9">
      <c r="A9" s="486" t="s">
        <v>11</v>
      </c>
      <c r="B9" s="494" t="s">
        <v>547</v>
      </c>
      <c r="C9" s="244"/>
      <c r="D9" s="505"/>
      <c r="F9" s="14"/>
    </row>
    <row r="10">
      <c r="A10" s="33"/>
      <c r="B10" s="367"/>
      <c r="C10" s="21"/>
      <c r="D10" s="9"/>
      <c r="E10" s="9"/>
      <c r="F10" s="21"/>
    </row>
    <row r="11">
      <c r="A11" s="2"/>
      <c r="B11" s="2"/>
      <c r="C11" s="2"/>
      <c r="D11" s="2"/>
      <c r="E11" s="2"/>
      <c r="F11" s="2"/>
    </row>
    <row r="12">
      <c r="A12" s="496" t="s">
        <v>566</v>
      </c>
      <c r="H12" s="209"/>
      <c r="I12" s="209"/>
      <c r="J12" s="209"/>
      <c r="K12" s="209"/>
      <c r="L12" s="209"/>
      <c r="M12" s="209"/>
      <c r="N12" s="209"/>
    </row>
    <row r="13">
      <c r="A13" s="45" t="s">
        <v>15</v>
      </c>
      <c r="B13" s="118"/>
      <c r="C13" s="46" t="s">
        <v>16</v>
      </c>
      <c r="D13" s="35"/>
      <c r="E13" s="47" t="s">
        <v>555</v>
      </c>
      <c r="F13" s="35"/>
      <c r="H13" s="209"/>
      <c r="I13" s="209"/>
      <c r="J13" s="209"/>
      <c r="K13" s="209"/>
      <c r="L13" s="209"/>
      <c r="M13" s="209"/>
      <c r="N13" s="209"/>
    </row>
    <row r="14">
      <c r="A14" s="35" t="s">
        <v>556</v>
      </c>
      <c r="B14" s="35"/>
      <c r="C14" s="321">
        <v>1.5</v>
      </c>
      <c r="D14" s="35"/>
      <c r="E14" s="50" t="b">
        <v>0</v>
      </c>
      <c r="F14" s="35"/>
      <c r="H14" s="209"/>
      <c r="I14" s="328"/>
      <c r="J14" s="506"/>
      <c r="K14" s="209"/>
      <c r="L14" s="209"/>
      <c r="M14" s="209"/>
      <c r="N14" s="209"/>
    </row>
    <row r="15">
      <c r="A15" s="35" t="s">
        <v>557</v>
      </c>
      <c r="B15" s="35"/>
      <c r="C15" s="321">
        <v>0.75</v>
      </c>
      <c r="D15" s="35"/>
      <c r="E15" s="50" t="b">
        <v>0</v>
      </c>
      <c r="F15" s="35"/>
      <c r="H15" s="209"/>
      <c r="I15" s="328"/>
      <c r="J15" s="506"/>
      <c r="K15" s="209"/>
      <c r="L15" s="209"/>
      <c r="M15" s="209"/>
      <c r="N15" s="209"/>
    </row>
    <row r="16">
      <c r="A16" s="35" t="s">
        <v>558</v>
      </c>
      <c r="B16" s="35"/>
      <c r="C16" s="321">
        <v>3.0</v>
      </c>
      <c r="D16" s="35"/>
      <c r="E16" s="50" t="b">
        <v>0</v>
      </c>
      <c r="F16" s="35"/>
      <c r="H16" s="209"/>
      <c r="I16" s="328"/>
      <c r="J16" s="506"/>
      <c r="K16" s="209"/>
      <c r="L16" s="209"/>
      <c r="M16" s="209"/>
      <c r="N16" s="209"/>
    </row>
    <row r="17">
      <c r="A17" s="35" t="s">
        <v>533</v>
      </c>
      <c r="B17" s="35"/>
      <c r="C17" s="321">
        <v>3.0</v>
      </c>
      <c r="D17" s="35"/>
      <c r="E17" s="50" t="b">
        <v>0</v>
      </c>
      <c r="F17" s="35"/>
      <c r="H17" s="209"/>
      <c r="I17" s="328"/>
      <c r="J17" s="506"/>
      <c r="K17" s="209"/>
      <c r="L17" s="209"/>
      <c r="M17" s="209"/>
      <c r="N17" s="209"/>
    </row>
    <row r="18">
      <c r="A18" s="35" t="s">
        <v>541</v>
      </c>
      <c r="B18" s="35"/>
      <c r="C18" s="321">
        <v>2.25</v>
      </c>
      <c r="D18" s="35"/>
      <c r="E18" s="50" t="b">
        <v>0</v>
      </c>
      <c r="F18" s="35"/>
      <c r="H18" s="209"/>
      <c r="I18" s="328"/>
      <c r="J18" s="506"/>
      <c r="K18" s="209"/>
      <c r="L18" s="209"/>
      <c r="M18" s="209"/>
      <c r="N18" s="209"/>
    </row>
    <row r="19">
      <c r="A19" s="35" t="s">
        <v>559</v>
      </c>
      <c r="B19" s="35"/>
      <c r="C19" s="321">
        <v>9.0</v>
      </c>
      <c r="D19" s="35"/>
      <c r="E19" s="50" t="b">
        <v>0</v>
      </c>
      <c r="F19" s="35"/>
      <c r="H19" s="209"/>
      <c r="I19" s="328"/>
      <c r="J19" s="506"/>
      <c r="K19" s="209"/>
      <c r="L19" s="209"/>
      <c r="M19" s="209"/>
      <c r="N19" s="209"/>
    </row>
    <row r="20">
      <c r="A20" s="35" t="s">
        <v>560</v>
      </c>
      <c r="B20" s="35"/>
      <c r="C20" s="321">
        <v>0.75</v>
      </c>
      <c r="D20" s="35"/>
      <c r="E20" s="50" t="b">
        <v>0</v>
      </c>
      <c r="F20" s="35"/>
      <c r="H20" s="209"/>
      <c r="I20" s="328"/>
      <c r="J20" s="506"/>
      <c r="K20" s="209"/>
      <c r="L20" s="209"/>
      <c r="M20" s="209"/>
      <c r="N20" s="209"/>
    </row>
    <row r="21">
      <c r="A21" s="35" t="s">
        <v>561</v>
      </c>
      <c r="B21" s="35"/>
      <c r="C21" s="321">
        <v>3.0</v>
      </c>
      <c r="D21" s="35"/>
      <c r="E21" s="50" t="b">
        <v>0</v>
      </c>
      <c r="F21" s="35"/>
      <c r="H21" s="209"/>
      <c r="I21" s="328"/>
      <c r="J21" s="506"/>
      <c r="K21" s="209"/>
      <c r="L21" s="209"/>
      <c r="M21" s="209"/>
      <c r="N21" s="209"/>
    </row>
    <row r="22">
      <c r="A22" s="225" t="s">
        <v>562</v>
      </c>
      <c r="B22" s="35"/>
      <c r="C22" s="321">
        <v>3.75</v>
      </c>
      <c r="D22" s="35"/>
      <c r="E22" s="50" t="b">
        <v>0</v>
      </c>
      <c r="F22" s="35"/>
      <c r="H22" s="209"/>
      <c r="I22" s="328"/>
      <c r="J22" s="506"/>
      <c r="K22" s="209"/>
      <c r="L22" s="209"/>
      <c r="M22" s="209"/>
      <c r="N22" s="209"/>
    </row>
    <row r="23">
      <c r="A23" s="35" t="s">
        <v>563</v>
      </c>
      <c r="B23" s="35"/>
      <c r="C23" s="321">
        <v>1.5</v>
      </c>
      <c r="D23" s="35"/>
      <c r="E23" s="50" t="b">
        <v>0</v>
      </c>
      <c r="F23" s="35"/>
      <c r="H23" s="209"/>
      <c r="I23" s="328"/>
      <c r="J23" s="506"/>
      <c r="K23" s="209"/>
      <c r="L23" s="209"/>
      <c r="M23" s="209"/>
      <c r="N23" s="209"/>
    </row>
    <row r="24">
      <c r="A24" s="35" t="s">
        <v>564</v>
      </c>
      <c r="B24" s="35"/>
      <c r="C24" s="321">
        <v>1.5</v>
      </c>
      <c r="D24" s="35"/>
      <c r="E24" s="50" t="b">
        <v>0</v>
      </c>
      <c r="F24" s="35"/>
      <c r="H24" s="209"/>
      <c r="I24" s="328"/>
      <c r="J24" s="506"/>
      <c r="K24" s="209"/>
      <c r="L24" s="209"/>
      <c r="M24" s="209"/>
      <c r="N24" s="209"/>
    </row>
    <row r="25">
      <c r="A25" s="37"/>
      <c r="B25" s="37"/>
      <c r="C25" s="37"/>
      <c r="D25" s="37"/>
      <c r="E25" s="37"/>
      <c r="F25" s="37"/>
      <c r="H25" s="209"/>
      <c r="I25" s="209"/>
      <c r="J25" s="209"/>
      <c r="K25" s="209"/>
      <c r="L25" s="209"/>
      <c r="M25" s="209"/>
      <c r="N25" s="209"/>
    </row>
    <row r="26">
      <c r="A26" s="2"/>
      <c r="B26" s="2"/>
      <c r="C26" s="2"/>
      <c r="D26" s="2"/>
      <c r="E26" s="2"/>
      <c r="F26" s="2"/>
      <c r="I26" s="209"/>
      <c r="J26" s="209"/>
      <c r="K26" s="209"/>
      <c r="L26" s="209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488" t="s">
        <v>543</v>
      </c>
    </row>
    <row r="30">
      <c r="A30" s="228" t="s">
        <v>544</v>
      </c>
      <c r="B30" s="58"/>
      <c r="C30" s="58"/>
      <c r="D30" s="58"/>
      <c r="E30" s="58"/>
      <c r="F30" s="58"/>
    </row>
    <row r="31">
      <c r="A31" s="2"/>
      <c r="B31" s="2"/>
      <c r="C31" s="2"/>
      <c r="D31" s="2"/>
      <c r="E31" s="2"/>
      <c r="F31" s="2"/>
    </row>
    <row r="32">
      <c r="A32" s="501" t="s">
        <v>550</v>
      </c>
      <c r="B32" s="60"/>
      <c r="C32" s="60"/>
      <c r="D32" s="60"/>
      <c r="E32" s="60"/>
      <c r="F32" s="60"/>
    </row>
    <row r="33">
      <c r="A33" s="501" t="s">
        <v>551</v>
      </c>
    </row>
    <row r="34">
      <c r="A34" s="2"/>
      <c r="B34" s="2"/>
      <c r="C34" s="2"/>
      <c r="D34" s="2"/>
      <c r="E34" s="2"/>
      <c r="F34" s="2"/>
    </row>
  </sheetData>
  <mergeCells count="14">
    <mergeCell ref="A6:A8"/>
    <mergeCell ref="A9:A10"/>
    <mergeCell ref="B9:C10"/>
    <mergeCell ref="D9:F10"/>
    <mergeCell ref="A12:F12"/>
    <mergeCell ref="A29:F29"/>
    <mergeCell ref="A33:F33"/>
    <mergeCell ref="A1:F1"/>
    <mergeCell ref="A2:F2"/>
    <mergeCell ref="A3:A5"/>
    <mergeCell ref="B3:C5"/>
    <mergeCell ref="D3:F5"/>
    <mergeCell ref="B6:C8"/>
    <mergeCell ref="D6:F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06" t="s">
        <v>567</v>
      </c>
      <c r="G1" s="114">
        <v>30.0</v>
      </c>
    </row>
    <row r="2">
      <c r="A2" s="3"/>
      <c r="B2" s="4"/>
      <c r="C2" s="4"/>
      <c r="D2" s="6"/>
      <c r="E2" s="6"/>
      <c r="F2" s="6"/>
    </row>
    <row r="3">
      <c r="A3" s="238" t="s">
        <v>2</v>
      </c>
      <c r="B3" s="239" t="s">
        <v>3</v>
      </c>
      <c r="C3" s="240"/>
      <c r="D3" s="241" t="s">
        <v>4</v>
      </c>
      <c r="E3" s="241" t="s">
        <v>5</v>
      </c>
      <c r="F3" s="241" t="s">
        <v>6</v>
      </c>
    </row>
    <row r="4">
      <c r="A4" s="12" t="s">
        <v>7</v>
      </c>
      <c r="B4" s="362" t="s">
        <v>8</v>
      </c>
      <c r="C4" s="14"/>
      <c r="D4" s="363"/>
      <c r="E4" s="363"/>
      <c r="F4" s="363"/>
    </row>
    <row r="5">
      <c r="A5" s="16"/>
      <c r="C5" s="14"/>
      <c r="D5" s="25"/>
      <c r="E5" s="25"/>
      <c r="F5" s="25"/>
    </row>
    <row r="6">
      <c r="A6" s="20"/>
      <c r="B6" s="9"/>
      <c r="C6" s="21"/>
      <c r="D6" s="27"/>
      <c r="E6" s="27"/>
      <c r="F6" s="27"/>
    </row>
    <row r="7">
      <c r="A7" s="68" t="s">
        <v>9</v>
      </c>
      <c r="B7" s="365" t="s">
        <v>10</v>
      </c>
      <c r="C7" s="244"/>
      <c r="D7" s="24"/>
      <c r="E7" s="24"/>
      <c r="F7" s="24"/>
    </row>
    <row r="8">
      <c r="A8" s="25"/>
      <c r="B8" s="366"/>
      <c r="C8" s="14"/>
      <c r="D8" s="14"/>
      <c r="E8" s="14"/>
      <c r="F8" s="14"/>
    </row>
    <row r="9">
      <c r="A9" s="27"/>
      <c r="B9" s="367"/>
      <c r="C9" s="21"/>
      <c r="D9" s="21"/>
      <c r="E9" s="21"/>
      <c r="F9" s="21"/>
    </row>
    <row r="10">
      <c r="A10" s="30" t="s">
        <v>11</v>
      </c>
      <c r="B10" s="31" t="s">
        <v>12</v>
      </c>
      <c r="C10" s="14"/>
      <c r="D10" s="32"/>
      <c r="E10" s="32"/>
      <c r="F10" s="32"/>
    </row>
    <row r="11">
      <c r="A11" s="3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48" t="s">
        <v>568</v>
      </c>
      <c r="B13" s="35"/>
      <c r="C13" s="35"/>
      <c r="D13" s="35"/>
      <c r="E13" s="35"/>
      <c r="F13" s="35"/>
    </row>
    <row r="14">
      <c r="A14" s="45" t="s">
        <v>15</v>
      </c>
      <c r="B14" s="118"/>
      <c r="C14" s="46" t="s">
        <v>16</v>
      </c>
      <c r="D14" s="47" t="s">
        <v>17</v>
      </c>
      <c r="E14" s="47" t="s">
        <v>18</v>
      </c>
      <c r="F14" s="127"/>
    </row>
    <row r="15">
      <c r="A15" s="35" t="s">
        <v>569</v>
      </c>
      <c r="B15" s="35"/>
      <c r="C15" s="290">
        <v>1.5</v>
      </c>
      <c r="D15" s="50" t="b">
        <v>0</v>
      </c>
      <c r="E15" s="50" t="b">
        <v>0</v>
      </c>
      <c r="F15" s="127"/>
    </row>
    <row r="16">
      <c r="A16" s="35" t="s">
        <v>570</v>
      </c>
      <c r="B16" s="35"/>
      <c r="C16" s="290">
        <v>0.4</v>
      </c>
      <c r="D16" s="50" t="b">
        <v>0</v>
      </c>
      <c r="E16" s="50" t="b">
        <v>0</v>
      </c>
      <c r="F16" s="127"/>
    </row>
    <row r="17">
      <c r="A17" s="35" t="s">
        <v>57</v>
      </c>
      <c r="B17" s="35"/>
      <c r="C17" s="290">
        <v>4.0</v>
      </c>
      <c r="D17" s="50" t="b">
        <v>0</v>
      </c>
      <c r="E17" s="50" t="b">
        <v>0</v>
      </c>
      <c r="F17" s="127"/>
    </row>
    <row r="18">
      <c r="A18" s="35" t="s">
        <v>571</v>
      </c>
      <c r="B18" s="35"/>
      <c r="C18" s="290">
        <v>0.5</v>
      </c>
      <c r="D18" s="50" t="b">
        <v>0</v>
      </c>
      <c r="E18" s="50" t="b">
        <v>0</v>
      </c>
      <c r="F18" s="127"/>
    </row>
    <row r="19">
      <c r="A19" s="35" t="s">
        <v>572</v>
      </c>
      <c r="B19" s="35"/>
      <c r="C19" s="290">
        <v>3.0</v>
      </c>
      <c r="D19" s="50" t="b">
        <v>0</v>
      </c>
      <c r="E19" s="50" t="b">
        <v>0</v>
      </c>
      <c r="F19" s="127"/>
    </row>
    <row r="20">
      <c r="A20" s="35" t="s">
        <v>573</v>
      </c>
      <c r="B20" s="35"/>
      <c r="C20" s="290">
        <v>0.2</v>
      </c>
      <c r="D20" s="50" t="b">
        <v>0</v>
      </c>
      <c r="E20" s="50" t="b">
        <v>0</v>
      </c>
      <c r="F20" s="127"/>
    </row>
    <row r="21">
      <c r="A21" s="35" t="s">
        <v>574</v>
      </c>
      <c r="B21" s="35"/>
      <c r="C21" s="290">
        <v>0.2</v>
      </c>
      <c r="D21" s="50" t="b">
        <v>0</v>
      </c>
      <c r="E21" s="50" t="b">
        <v>0</v>
      </c>
      <c r="F21" s="127"/>
    </row>
    <row r="22">
      <c r="A22" s="35" t="s">
        <v>575</v>
      </c>
      <c r="B22" s="35"/>
      <c r="C22" s="290">
        <v>4.0</v>
      </c>
      <c r="D22" s="50" t="b">
        <v>0</v>
      </c>
      <c r="E22" s="50" t="b">
        <v>0</v>
      </c>
      <c r="F22" s="127"/>
    </row>
    <row r="23">
      <c r="A23" s="35" t="s">
        <v>540</v>
      </c>
      <c r="B23" s="35"/>
      <c r="C23" s="290">
        <v>2.0</v>
      </c>
      <c r="D23" s="50" t="b">
        <v>0</v>
      </c>
      <c r="E23" s="50" t="b">
        <v>0</v>
      </c>
      <c r="F23" s="127"/>
    </row>
    <row r="24">
      <c r="A24" s="35" t="s">
        <v>576</v>
      </c>
      <c r="B24" s="35"/>
      <c r="C24" s="290">
        <v>3.0</v>
      </c>
      <c r="D24" s="50" t="b">
        <v>0</v>
      </c>
      <c r="E24" s="50" t="b">
        <v>0</v>
      </c>
      <c r="F24" s="127"/>
    </row>
    <row r="25">
      <c r="A25" s="35" t="s">
        <v>577</v>
      </c>
      <c r="B25" s="35"/>
      <c r="C25" s="290">
        <v>1.0</v>
      </c>
      <c r="D25" s="50" t="b">
        <v>0</v>
      </c>
      <c r="E25" s="50" t="b">
        <v>0</v>
      </c>
      <c r="F25" s="127"/>
    </row>
    <row r="26">
      <c r="A26" s="35" t="s">
        <v>578</v>
      </c>
      <c r="B26" s="35"/>
      <c r="C26" s="290">
        <v>1.5</v>
      </c>
      <c r="D26" s="50" t="b">
        <v>0</v>
      </c>
      <c r="E26" s="50" t="b">
        <v>0</v>
      </c>
      <c r="F26" s="127"/>
    </row>
    <row r="27">
      <c r="A27" s="225" t="s">
        <v>579</v>
      </c>
      <c r="B27" s="35"/>
      <c r="C27" s="290">
        <v>0.25</v>
      </c>
      <c r="D27" s="50" t="b">
        <v>0</v>
      </c>
      <c r="E27" s="50" t="b">
        <v>0</v>
      </c>
      <c r="F27" s="127"/>
    </row>
    <row r="28">
      <c r="A28" s="35" t="s">
        <v>580</v>
      </c>
      <c r="B28" s="35"/>
      <c r="C28" s="290">
        <v>1.5</v>
      </c>
      <c r="D28" s="50" t="b">
        <v>0</v>
      </c>
      <c r="E28" s="50" t="b">
        <v>0</v>
      </c>
      <c r="F28" s="127"/>
    </row>
    <row r="29">
      <c r="A29" s="35" t="s">
        <v>581</v>
      </c>
      <c r="B29" s="35"/>
      <c r="C29" s="507" t="s">
        <v>582</v>
      </c>
      <c r="D29" s="50" t="b">
        <v>0</v>
      </c>
      <c r="E29" s="50" t="b">
        <v>0</v>
      </c>
      <c r="F29" s="127"/>
    </row>
    <row r="30">
      <c r="A30" s="35" t="s">
        <v>583</v>
      </c>
      <c r="B30" s="35"/>
      <c r="C30" s="507" t="s">
        <v>584</v>
      </c>
      <c r="D30" s="257" t="b">
        <v>0</v>
      </c>
      <c r="E30" s="257" t="b">
        <v>0</v>
      </c>
      <c r="F30" s="127"/>
    </row>
    <row r="31">
      <c r="A31" s="35" t="s">
        <v>585</v>
      </c>
      <c r="B31" s="35"/>
      <c r="C31" s="507" t="s">
        <v>586</v>
      </c>
      <c r="D31" s="257" t="b">
        <v>0</v>
      </c>
      <c r="E31" s="257" t="b">
        <v>0</v>
      </c>
      <c r="F31" s="127"/>
    </row>
    <row r="32">
      <c r="A32" s="35" t="s">
        <v>557</v>
      </c>
      <c r="B32" s="35"/>
      <c r="C32" s="507" t="s">
        <v>587</v>
      </c>
      <c r="D32" s="257" t="b">
        <v>0</v>
      </c>
      <c r="E32" s="257" t="b">
        <v>0</v>
      </c>
      <c r="F32" s="127"/>
    </row>
    <row r="33">
      <c r="A33" s="35"/>
      <c r="B33" s="35"/>
      <c r="C33" s="35"/>
      <c r="D33" s="35"/>
      <c r="E33" s="35"/>
      <c r="F33" s="35"/>
    </row>
    <row r="34">
      <c r="A34" s="488" t="s">
        <v>543</v>
      </c>
    </row>
    <row r="35">
      <c r="A35" s="228" t="s">
        <v>544</v>
      </c>
      <c r="B35" s="58"/>
      <c r="C35" s="58"/>
      <c r="D35" s="58"/>
      <c r="E35" s="58"/>
      <c r="F35" s="58"/>
    </row>
    <row r="36">
      <c r="A36" s="2"/>
      <c r="B36" s="2"/>
      <c r="C36" s="2"/>
      <c r="D36" s="2"/>
      <c r="E36" s="2"/>
      <c r="F36" s="2"/>
    </row>
    <row r="37">
      <c r="A37" s="59" t="s">
        <v>29</v>
      </c>
      <c r="B37" s="60"/>
      <c r="C37" s="60"/>
      <c r="D37" s="60"/>
      <c r="E37" s="60"/>
      <c r="F37" s="60"/>
    </row>
    <row r="38">
      <c r="A38" s="59" t="s">
        <v>30</v>
      </c>
      <c r="B38" s="60"/>
      <c r="C38" s="60"/>
      <c r="D38" s="60"/>
      <c r="E38" s="60"/>
      <c r="F38" s="60"/>
    </row>
  </sheetData>
  <mergeCells count="18">
    <mergeCell ref="A1:F1"/>
    <mergeCell ref="B3:C3"/>
    <mergeCell ref="A4:A6"/>
    <mergeCell ref="B4:C6"/>
    <mergeCell ref="D4:D6"/>
    <mergeCell ref="E4:E6"/>
    <mergeCell ref="F4:F6"/>
    <mergeCell ref="D10:D11"/>
    <mergeCell ref="E10:E11"/>
    <mergeCell ref="B10:C11"/>
    <mergeCell ref="A34:F34"/>
    <mergeCell ref="A7:A9"/>
    <mergeCell ref="B7:C9"/>
    <mergeCell ref="D7:D9"/>
    <mergeCell ref="E7:E9"/>
    <mergeCell ref="F7:F9"/>
    <mergeCell ref="A10:A11"/>
    <mergeCell ref="F10:F1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1" t="s">
        <v>588</v>
      </c>
    </row>
    <row r="2">
      <c r="A2" s="489" t="s">
        <v>589</v>
      </c>
      <c r="B2" s="490"/>
      <c r="C2" s="490"/>
      <c r="D2" s="490"/>
      <c r="E2" s="490"/>
      <c r="F2" s="240"/>
    </row>
    <row r="3">
      <c r="A3" s="12" t="s">
        <v>7</v>
      </c>
      <c r="B3" s="362" t="s">
        <v>8</v>
      </c>
      <c r="C3" s="14"/>
      <c r="D3" s="491"/>
      <c r="E3" s="492"/>
      <c r="F3" s="244"/>
    </row>
    <row r="4">
      <c r="A4" s="16"/>
      <c r="C4" s="14"/>
      <c r="D4" s="366"/>
      <c r="F4" s="14"/>
    </row>
    <row r="5">
      <c r="A5" s="20"/>
      <c r="B5" s="9"/>
      <c r="C5" s="21"/>
      <c r="D5" s="367"/>
      <c r="E5" s="9"/>
      <c r="F5" s="21"/>
    </row>
    <row r="6">
      <c r="A6" s="68" t="s">
        <v>9</v>
      </c>
      <c r="B6" s="365" t="s">
        <v>10</v>
      </c>
      <c r="C6" s="244"/>
      <c r="D6" s="504"/>
      <c r="F6" s="14"/>
    </row>
    <row r="7">
      <c r="A7" s="25"/>
      <c r="B7" s="366"/>
      <c r="C7" s="14"/>
      <c r="F7" s="14"/>
    </row>
    <row r="8">
      <c r="A8" s="27"/>
      <c r="B8" s="367"/>
      <c r="C8" s="21"/>
      <c r="D8" s="9"/>
      <c r="E8" s="9"/>
      <c r="F8" s="21"/>
    </row>
    <row r="9">
      <c r="A9" s="30" t="s">
        <v>11</v>
      </c>
      <c r="B9" s="494" t="s">
        <v>547</v>
      </c>
      <c r="C9" s="244"/>
      <c r="D9" s="505"/>
      <c r="F9" s="14"/>
      <c r="H9" s="209"/>
      <c r="I9" s="209"/>
      <c r="J9" s="209"/>
      <c r="K9" s="209"/>
    </row>
    <row r="10">
      <c r="A10" s="33"/>
      <c r="B10" s="367"/>
      <c r="C10" s="21"/>
      <c r="D10" s="9"/>
      <c r="E10" s="9"/>
      <c r="F10" s="21"/>
      <c r="H10" s="209"/>
      <c r="I10" s="209"/>
      <c r="J10" s="209"/>
      <c r="K10" s="209"/>
    </row>
    <row r="11">
      <c r="A11" s="2"/>
      <c r="B11" s="2"/>
      <c r="C11" s="2"/>
      <c r="D11" s="2"/>
      <c r="E11" s="2"/>
      <c r="F11" s="2"/>
      <c r="H11" s="209"/>
      <c r="I11" s="209"/>
      <c r="J11" s="209"/>
      <c r="K11" s="209"/>
    </row>
    <row r="12">
      <c r="A12" s="508" t="s">
        <v>590</v>
      </c>
      <c r="B12" s="509"/>
      <c r="C12" s="509"/>
      <c r="D12" s="509"/>
      <c r="E12" s="509"/>
      <c r="F12" s="510"/>
      <c r="H12" s="209"/>
      <c r="I12" s="209"/>
      <c r="J12" s="209"/>
      <c r="K12" s="209"/>
    </row>
    <row r="13">
      <c r="A13" s="496" t="s">
        <v>591</v>
      </c>
      <c r="H13" s="209"/>
      <c r="I13" s="209"/>
      <c r="J13" s="209"/>
      <c r="K13" s="209"/>
    </row>
    <row r="14">
      <c r="A14" s="45" t="s">
        <v>15</v>
      </c>
      <c r="B14" s="118"/>
      <c r="C14" s="46" t="s">
        <v>16</v>
      </c>
      <c r="D14" s="127"/>
      <c r="E14" s="47" t="s">
        <v>450</v>
      </c>
      <c r="F14" s="127"/>
      <c r="G14" s="209"/>
      <c r="H14" s="511"/>
      <c r="I14" s="209"/>
      <c r="J14" s="209"/>
      <c r="K14" s="209"/>
    </row>
    <row r="15">
      <c r="A15" s="35" t="s">
        <v>569</v>
      </c>
      <c r="B15" s="35"/>
      <c r="C15" s="512">
        <v>1.0</v>
      </c>
      <c r="D15" s="127"/>
      <c r="E15" s="50" t="b">
        <v>0</v>
      </c>
      <c r="F15" s="127"/>
      <c r="G15" s="19"/>
      <c r="H15" s="513"/>
      <c r="I15" s="514"/>
      <c r="J15" s="514"/>
      <c r="K15" s="209"/>
    </row>
    <row r="16">
      <c r="A16" s="35" t="s">
        <v>570</v>
      </c>
      <c r="B16" s="35"/>
      <c r="C16" s="512">
        <v>0.2</v>
      </c>
      <c r="D16" s="127"/>
      <c r="E16" s="50" t="b">
        <v>0</v>
      </c>
      <c r="F16" s="127"/>
      <c r="G16" s="19"/>
      <c r="H16" s="513"/>
      <c r="I16" s="514"/>
      <c r="J16" s="514"/>
      <c r="K16" s="209"/>
    </row>
    <row r="17">
      <c r="A17" s="35" t="s">
        <v>57</v>
      </c>
      <c r="B17" s="35"/>
      <c r="C17" s="512">
        <v>2.5</v>
      </c>
      <c r="D17" s="127"/>
      <c r="E17" s="50" t="b">
        <v>0</v>
      </c>
      <c r="F17" s="127"/>
      <c r="G17" s="19"/>
      <c r="H17" s="513"/>
      <c r="I17" s="514"/>
      <c r="J17" s="514"/>
      <c r="K17" s="209"/>
    </row>
    <row r="18">
      <c r="A18" s="35" t="s">
        <v>571</v>
      </c>
      <c r="B18" s="35"/>
      <c r="C18" s="512">
        <v>0.2</v>
      </c>
      <c r="D18" s="127"/>
      <c r="E18" s="50" t="b">
        <v>0</v>
      </c>
      <c r="F18" s="127"/>
      <c r="G18" s="19"/>
      <c r="H18" s="513"/>
      <c r="I18" s="514"/>
      <c r="J18" s="514"/>
      <c r="K18" s="209"/>
    </row>
    <row r="19">
      <c r="A19" s="35" t="s">
        <v>572</v>
      </c>
      <c r="B19" s="35"/>
      <c r="C19" s="512">
        <v>1.0</v>
      </c>
      <c r="D19" s="127"/>
      <c r="E19" s="50" t="b">
        <v>0</v>
      </c>
      <c r="F19" s="127"/>
      <c r="G19" s="19"/>
      <c r="H19" s="513"/>
      <c r="I19" s="514"/>
      <c r="J19" s="514"/>
      <c r="K19" s="209"/>
    </row>
    <row r="20">
      <c r="A20" s="35" t="s">
        <v>573</v>
      </c>
      <c r="B20" s="35"/>
      <c r="C20" s="512">
        <v>0.2</v>
      </c>
      <c r="D20" s="127"/>
      <c r="E20" s="50" t="b">
        <v>0</v>
      </c>
      <c r="F20" s="127"/>
      <c r="G20" s="19"/>
      <c r="H20" s="513"/>
      <c r="I20" s="514"/>
      <c r="J20" s="514"/>
      <c r="K20" s="209"/>
    </row>
    <row r="21">
      <c r="A21" s="35" t="s">
        <v>574</v>
      </c>
      <c r="B21" s="35"/>
      <c r="C21" s="512">
        <v>0.2</v>
      </c>
      <c r="D21" s="127"/>
      <c r="E21" s="50" t="b">
        <v>0</v>
      </c>
      <c r="F21" s="127"/>
      <c r="G21" s="19"/>
      <c r="H21" s="513"/>
      <c r="I21" s="514"/>
      <c r="J21" s="514"/>
      <c r="K21" s="209"/>
    </row>
    <row r="22">
      <c r="A22" s="35" t="s">
        <v>575</v>
      </c>
      <c r="B22" s="35"/>
      <c r="C22" s="512">
        <v>1.5</v>
      </c>
      <c r="D22" s="127"/>
      <c r="E22" s="50" t="b">
        <v>0</v>
      </c>
      <c r="F22" s="127"/>
      <c r="G22" s="19"/>
      <c r="H22" s="513"/>
      <c r="I22" s="514"/>
      <c r="J22" s="514"/>
      <c r="K22" s="209"/>
    </row>
    <row r="23">
      <c r="A23" s="35" t="s">
        <v>540</v>
      </c>
      <c r="B23" s="35"/>
      <c r="C23" s="512">
        <v>1.5</v>
      </c>
      <c r="D23" s="127"/>
      <c r="E23" s="50" t="b">
        <v>0</v>
      </c>
      <c r="F23" s="127"/>
      <c r="G23" s="19"/>
      <c r="H23" s="513"/>
      <c r="I23" s="514"/>
      <c r="J23" s="514"/>
      <c r="K23" s="209"/>
    </row>
    <row r="24">
      <c r="A24" s="35" t="s">
        <v>576</v>
      </c>
      <c r="B24" s="35"/>
      <c r="C24" s="512">
        <v>2.0</v>
      </c>
      <c r="D24" s="127"/>
      <c r="E24" s="50" t="b">
        <v>0</v>
      </c>
      <c r="F24" s="127"/>
      <c r="G24" s="19"/>
      <c r="H24" s="513"/>
      <c r="I24" s="514"/>
      <c r="J24" s="514"/>
      <c r="K24" s="209"/>
    </row>
    <row r="25">
      <c r="A25" s="35" t="s">
        <v>577</v>
      </c>
      <c r="B25" s="35"/>
      <c r="C25" s="512">
        <v>1.0</v>
      </c>
      <c r="D25" s="127"/>
      <c r="E25" s="50" t="b">
        <v>0</v>
      </c>
      <c r="F25" s="127"/>
      <c r="G25" s="19"/>
      <c r="H25" s="513"/>
      <c r="I25" s="514"/>
      <c r="J25" s="514"/>
      <c r="K25" s="209"/>
    </row>
    <row r="26">
      <c r="A26" s="35" t="s">
        <v>578</v>
      </c>
      <c r="B26" s="35"/>
      <c r="C26" s="512">
        <v>2.5</v>
      </c>
      <c r="D26" s="127"/>
      <c r="E26" s="50" t="b">
        <v>0</v>
      </c>
      <c r="F26" s="127"/>
      <c r="G26" s="19"/>
      <c r="H26" s="513"/>
      <c r="I26" s="514"/>
      <c r="J26" s="514"/>
      <c r="K26" s="209"/>
    </row>
    <row r="27">
      <c r="A27" s="225" t="s">
        <v>579</v>
      </c>
      <c r="B27" s="35"/>
      <c r="C27" s="512">
        <v>0.3</v>
      </c>
      <c r="D27" s="127"/>
      <c r="E27" s="50" t="b">
        <v>0</v>
      </c>
      <c r="F27" s="127"/>
      <c r="G27" s="19"/>
      <c r="H27" s="513"/>
      <c r="I27" s="514"/>
      <c r="J27" s="514"/>
      <c r="K27" s="209"/>
    </row>
    <row r="28">
      <c r="A28" s="35" t="s">
        <v>580</v>
      </c>
      <c r="B28" s="35"/>
      <c r="C28" s="512">
        <v>3.0</v>
      </c>
      <c r="D28" s="127"/>
      <c r="E28" s="50" t="b">
        <v>0</v>
      </c>
      <c r="F28" s="127"/>
      <c r="G28" s="19"/>
      <c r="H28" s="513"/>
      <c r="I28" s="514"/>
      <c r="J28" s="514"/>
      <c r="K28" s="209"/>
    </row>
    <row r="29">
      <c r="A29" s="35" t="s">
        <v>581</v>
      </c>
      <c r="B29" s="35"/>
      <c r="C29" s="512">
        <v>2.0</v>
      </c>
      <c r="D29" s="127"/>
      <c r="E29" s="50" t="b">
        <v>0</v>
      </c>
      <c r="F29" s="127"/>
      <c r="G29" s="19"/>
      <c r="H29" s="513"/>
      <c r="I29" s="514"/>
      <c r="J29" s="514"/>
      <c r="K29" s="209"/>
    </row>
    <row r="30">
      <c r="A30" s="35" t="s">
        <v>583</v>
      </c>
      <c r="B30" s="35"/>
      <c r="C30" s="512">
        <v>0.2</v>
      </c>
      <c r="D30" s="127"/>
      <c r="E30" s="257" t="b">
        <v>0</v>
      </c>
      <c r="F30" s="127"/>
      <c r="G30" s="19"/>
      <c r="H30" s="513"/>
      <c r="I30" s="514"/>
      <c r="J30" s="514"/>
      <c r="K30" s="209"/>
    </row>
    <row r="31">
      <c r="A31" s="35" t="s">
        <v>585</v>
      </c>
      <c r="B31" s="35"/>
      <c r="C31" s="512">
        <v>0.5</v>
      </c>
      <c r="D31" s="127"/>
      <c r="E31" s="257" t="b">
        <v>0</v>
      </c>
      <c r="F31" s="127"/>
      <c r="G31" s="19"/>
      <c r="H31" s="513"/>
      <c r="I31" s="514"/>
      <c r="J31" s="514"/>
      <c r="K31" s="209"/>
    </row>
    <row r="32">
      <c r="A32" s="35" t="s">
        <v>557</v>
      </c>
      <c r="B32" s="35"/>
      <c r="C32" s="512">
        <v>0.2</v>
      </c>
      <c r="D32" s="127"/>
      <c r="E32" s="257" t="b">
        <v>0</v>
      </c>
      <c r="F32" s="127"/>
      <c r="G32" s="19"/>
      <c r="H32" s="52"/>
      <c r="I32" s="514"/>
      <c r="J32" s="514"/>
      <c r="K32" s="209"/>
    </row>
    <row r="33">
      <c r="A33" s="35"/>
      <c r="B33" s="35"/>
      <c r="C33" s="35"/>
      <c r="D33" s="35"/>
      <c r="E33" s="35"/>
      <c r="F33" s="35"/>
      <c r="G33" s="209"/>
      <c r="H33" s="209"/>
      <c r="I33" s="209"/>
      <c r="J33" s="209"/>
      <c r="K33" s="209"/>
    </row>
    <row r="34">
      <c r="A34" s="515"/>
      <c r="B34" s="515"/>
      <c r="C34" s="515"/>
      <c r="D34" s="515"/>
      <c r="E34" s="515"/>
      <c r="F34" s="515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>
      <c r="A35" s="488" t="s">
        <v>543</v>
      </c>
    </row>
    <row r="36">
      <c r="A36" s="228" t="s">
        <v>544</v>
      </c>
      <c r="B36" s="58"/>
      <c r="C36" s="58"/>
      <c r="D36" s="58"/>
      <c r="E36" s="58"/>
      <c r="F36" s="58"/>
    </row>
    <row r="37">
      <c r="A37" s="59" t="s">
        <v>29</v>
      </c>
      <c r="B37" s="60"/>
      <c r="C37" s="60"/>
      <c r="D37" s="60"/>
      <c r="E37" s="60"/>
      <c r="F37" s="60"/>
    </row>
    <row r="38">
      <c r="A38" s="59" t="s">
        <v>30</v>
      </c>
      <c r="B38" s="60"/>
      <c r="C38" s="60"/>
      <c r="D38" s="60"/>
      <c r="E38" s="60"/>
      <c r="F38" s="60"/>
    </row>
  </sheetData>
  <mergeCells count="13">
    <mergeCell ref="A6:A8"/>
    <mergeCell ref="A9:A10"/>
    <mergeCell ref="B9:C10"/>
    <mergeCell ref="D9:F10"/>
    <mergeCell ref="A13:F13"/>
    <mergeCell ref="A35:F35"/>
    <mergeCell ref="A1:F1"/>
    <mergeCell ref="A2:F2"/>
    <mergeCell ref="A3:A5"/>
    <mergeCell ref="B3:C5"/>
    <mergeCell ref="D3:F5"/>
    <mergeCell ref="B6:C8"/>
    <mergeCell ref="D6:F8"/>
  </mergeCells>
  <printOptions gridLines="1" horizontalCentered="1"/>
  <pageMargins bottom="0.75" footer="0.0" header="0.0" left="0.7" right="0.7" top="0.75"/>
  <pageSetup scale="110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06" t="s">
        <v>592</v>
      </c>
    </row>
    <row r="2">
      <c r="A2" s="3"/>
      <c r="B2" s="4"/>
      <c r="C2" s="4"/>
      <c r="D2" s="360" t="s">
        <v>593</v>
      </c>
      <c r="E2" s="6"/>
      <c r="F2" s="6"/>
    </row>
    <row r="3">
      <c r="A3" s="238" t="s">
        <v>2</v>
      </c>
      <c r="B3" s="239" t="s">
        <v>3</v>
      </c>
      <c r="C3" s="240"/>
      <c r="D3" s="241" t="s">
        <v>4</v>
      </c>
      <c r="E3" s="241" t="s">
        <v>5</v>
      </c>
      <c r="F3" s="241" t="s">
        <v>6</v>
      </c>
    </row>
    <row r="4">
      <c r="A4" s="484" t="s">
        <v>7</v>
      </c>
      <c r="B4" s="362" t="s">
        <v>8</v>
      </c>
      <c r="C4" s="14"/>
      <c r="D4" s="363"/>
      <c r="E4" s="363"/>
      <c r="F4" s="363"/>
    </row>
    <row r="5">
      <c r="A5" s="16"/>
      <c r="C5" s="14"/>
      <c r="D5" s="25"/>
      <c r="E5" s="25"/>
      <c r="F5" s="25"/>
    </row>
    <row r="6">
      <c r="A6" s="20"/>
      <c r="B6" s="9"/>
      <c r="C6" s="21"/>
      <c r="D6" s="27"/>
      <c r="E6" s="27"/>
      <c r="F6" s="27"/>
    </row>
    <row r="7">
      <c r="A7" s="22" t="s">
        <v>9</v>
      </c>
      <c r="B7" s="365" t="s">
        <v>10</v>
      </c>
      <c r="C7" s="244"/>
      <c r="D7" s="24"/>
      <c r="E7" s="24"/>
      <c r="F7" s="24"/>
    </row>
    <row r="8">
      <c r="A8" s="25"/>
      <c r="B8" s="366"/>
      <c r="C8" s="14"/>
      <c r="D8" s="14"/>
      <c r="E8" s="14"/>
      <c r="F8" s="14"/>
    </row>
    <row r="9">
      <c r="A9" s="27"/>
      <c r="B9" s="367"/>
      <c r="C9" s="21"/>
      <c r="D9" s="21"/>
      <c r="E9" s="21"/>
      <c r="F9" s="21"/>
    </row>
    <row r="10">
      <c r="A10" s="486" t="s">
        <v>11</v>
      </c>
      <c r="B10" s="516" t="s">
        <v>12</v>
      </c>
      <c r="C10" s="244"/>
      <c r="D10" s="32"/>
      <c r="E10" s="32"/>
      <c r="F10" s="32"/>
    </row>
    <row r="11">
      <c r="A11" s="33"/>
      <c r="B11" s="367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517" t="s">
        <v>594</v>
      </c>
      <c r="B13" s="35"/>
      <c r="C13" s="35"/>
      <c r="D13" s="35"/>
      <c r="E13" s="35"/>
      <c r="F13" s="35"/>
    </row>
    <row r="14">
      <c r="A14" s="45" t="s">
        <v>15</v>
      </c>
      <c r="B14" s="118"/>
      <c r="C14" s="46" t="s">
        <v>16</v>
      </c>
      <c r="D14" s="47" t="s">
        <v>17</v>
      </c>
      <c r="E14" s="47" t="s">
        <v>18</v>
      </c>
      <c r="F14" s="127"/>
    </row>
    <row r="15">
      <c r="A15" s="35" t="s">
        <v>578</v>
      </c>
      <c r="B15" s="35"/>
      <c r="C15" s="290">
        <v>5.0</v>
      </c>
      <c r="D15" s="50" t="b">
        <v>0</v>
      </c>
      <c r="E15" s="50" t="b">
        <v>0</v>
      </c>
      <c r="F15" s="127"/>
      <c r="G15" s="347">
        <f t="shared" ref="G15:G23" si="1">C15*2</f>
        <v>10</v>
      </c>
      <c r="H15" s="347">
        <f t="shared" ref="H15:H23" si="2">G15/4</f>
        <v>2.5</v>
      </c>
      <c r="I15" s="347">
        <f t="shared" ref="I15:I23" si="3">H15*3</f>
        <v>7.5</v>
      </c>
      <c r="L15" s="35" t="s">
        <v>578</v>
      </c>
      <c r="M15" s="35" t="s">
        <v>578</v>
      </c>
    </row>
    <row r="16">
      <c r="A16" s="35" t="s">
        <v>534</v>
      </c>
      <c r="B16" s="35"/>
      <c r="C16" s="290">
        <v>2.5</v>
      </c>
      <c r="D16" s="50" t="b">
        <v>0</v>
      </c>
      <c r="E16" s="50" t="b">
        <v>0</v>
      </c>
      <c r="F16" s="127"/>
      <c r="G16" s="347">
        <f t="shared" si="1"/>
        <v>5</v>
      </c>
      <c r="H16" s="347">
        <f t="shared" si="2"/>
        <v>1.25</v>
      </c>
      <c r="I16" s="347">
        <f t="shared" si="3"/>
        <v>3.75</v>
      </c>
      <c r="L16" s="35" t="s">
        <v>534</v>
      </c>
      <c r="M16" s="35" t="s">
        <v>534</v>
      </c>
    </row>
    <row r="17">
      <c r="A17" s="35" t="s">
        <v>577</v>
      </c>
      <c r="B17" s="35"/>
      <c r="C17" s="290">
        <v>2.5</v>
      </c>
      <c r="D17" s="50" t="b">
        <v>0</v>
      </c>
      <c r="E17" s="50" t="b">
        <v>0</v>
      </c>
      <c r="F17" s="127"/>
      <c r="G17" s="347">
        <f t="shared" si="1"/>
        <v>5</v>
      </c>
      <c r="H17" s="347">
        <f t="shared" si="2"/>
        <v>1.25</v>
      </c>
      <c r="I17" s="347">
        <f t="shared" si="3"/>
        <v>3.75</v>
      </c>
      <c r="L17" s="35" t="s">
        <v>577</v>
      </c>
      <c r="M17" s="35" t="s">
        <v>577</v>
      </c>
    </row>
    <row r="18">
      <c r="A18" s="35" t="s">
        <v>595</v>
      </c>
      <c r="B18" s="35"/>
      <c r="C18" s="290">
        <v>2.5</v>
      </c>
      <c r="D18" s="50" t="b">
        <v>0</v>
      </c>
      <c r="E18" s="50" t="b">
        <v>0</v>
      </c>
      <c r="F18" s="127"/>
      <c r="G18" s="347">
        <f t="shared" si="1"/>
        <v>5</v>
      </c>
      <c r="H18" s="347">
        <f t="shared" si="2"/>
        <v>1.25</v>
      </c>
      <c r="I18" s="347">
        <f t="shared" si="3"/>
        <v>3.75</v>
      </c>
      <c r="L18" s="35" t="s">
        <v>595</v>
      </c>
      <c r="M18" s="35" t="s">
        <v>595</v>
      </c>
    </row>
    <row r="19">
      <c r="A19" s="35" t="s">
        <v>596</v>
      </c>
      <c r="B19" s="35"/>
      <c r="C19" s="290">
        <v>0.5</v>
      </c>
      <c r="D19" s="50" t="b">
        <v>0</v>
      </c>
      <c r="E19" s="50" t="b">
        <v>0</v>
      </c>
      <c r="F19" s="127"/>
      <c r="G19" s="347">
        <f t="shared" si="1"/>
        <v>1</v>
      </c>
      <c r="H19" s="347">
        <f t="shared" si="2"/>
        <v>0.25</v>
      </c>
      <c r="I19" s="347">
        <f t="shared" si="3"/>
        <v>0.75</v>
      </c>
      <c r="L19" s="35" t="s">
        <v>596</v>
      </c>
      <c r="M19" s="35" t="s">
        <v>596</v>
      </c>
    </row>
    <row r="20">
      <c r="A20" s="35" t="s">
        <v>597</v>
      </c>
      <c r="B20" s="35"/>
      <c r="C20" s="290">
        <v>3.5</v>
      </c>
      <c r="D20" s="50" t="b">
        <v>0</v>
      </c>
      <c r="E20" s="50" t="b">
        <v>0</v>
      </c>
      <c r="F20" s="127"/>
      <c r="G20" s="347">
        <f t="shared" si="1"/>
        <v>7</v>
      </c>
      <c r="H20" s="347">
        <f t="shared" si="2"/>
        <v>1.75</v>
      </c>
      <c r="I20" s="347">
        <f t="shared" si="3"/>
        <v>5.25</v>
      </c>
      <c r="L20" s="35" t="s">
        <v>597</v>
      </c>
      <c r="M20" s="35" t="s">
        <v>597</v>
      </c>
    </row>
    <row r="21">
      <c r="A21" s="35" t="s">
        <v>536</v>
      </c>
      <c r="B21" s="35"/>
      <c r="C21" s="290">
        <v>0.5</v>
      </c>
      <c r="D21" s="50" t="b">
        <v>0</v>
      </c>
      <c r="E21" s="50" t="b">
        <v>0</v>
      </c>
      <c r="F21" s="127"/>
      <c r="G21" s="347">
        <f t="shared" si="1"/>
        <v>1</v>
      </c>
      <c r="H21" s="347">
        <f t="shared" si="2"/>
        <v>0.25</v>
      </c>
      <c r="I21" s="347">
        <f t="shared" si="3"/>
        <v>0.75</v>
      </c>
      <c r="L21" s="35" t="s">
        <v>536</v>
      </c>
      <c r="M21" s="35" t="s">
        <v>536</v>
      </c>
    </row>
    <row r="22">
      <c r="A22" s="35" t="s">
        <v>540</v>
      </c>
      <c r="B22" s="35"/>
      <c r="C22" s="290">
        <v>2.5</v>
      </c>
      <c r="D22" s="50" t="b">
        <v>0</v>
      </c>
      <c r="E22" s="50" t="b">
        <v>0</v>
      </c>
      <c r="F22" s="127"/>
      <c r="G22" s="347">
        <f t="shared" si="1"/>
        <v>5</v>
      </c>
      <c r="H22" s="347">
        <f t="shared" si="2"/>
        <v>1.25</v>
      </c>
      <c r="I22" s="347">
        <f t="shared" si="3"/>
        <v>3.75</v>
      </c>
      <c r="L22" s="35" t="s">
        <v>540</v>
      </c>
      <c r="M22" s="35" t="s">
        <v>540</v>
      </c>
    </row>
    <row r="23">
      <c r="A23" s="35" t="s">
        <v>598</v>
      </c>
      <c r="B23" s="35"/>
      <c r="C23" s="290">
        <v>0.5</v>
      </c>
      <c r="D23" s="50" t="b">
        <v>0</v>
      </c>
      <c r="E23" s="50" t="b">
        <v>0</v>
      </c>
      <c r="F23" s="127"/>
      <c r="G23" s="347">
        <f t="shared" si="1"/>
        <v>1</v>
      </c>
      <c r="H23" s="347">
        <f t="shared" si="2"/>
        <v>0.25</v>
      </c>
      <c r="I23" s="347">
        <f t="shared" si="3"/>
        <v>0.75</v>
      </c>
      <c r="L23" s="35" t="s">
        <v>598</v>
      </c>
      <c r="M23" s="35" t="s">
        <v>598</v>
      </c>
    </row>
    <row r="24">
      <c r="A24" s="35"/>
      <c r="B24" s="35"/>
      <c r="C24" s="79"/>
      <c r="D24" s="35"/>
      <c r="E24" s="35"/>
      <c r="F24" s="35"/>
    </row>
    <row r="25">
      <c r="A25" s="2"/>
      <c r="B25" s="2"/>
      <c r="C25" s="2"/>
      <c r="D25" s="2"/>
      <c r="E25" s="2"/>
      <c r="F25" s="2"/>
    </row>
    <row r="26">
      <c r="A26" s="488" t="s">
        <v>543</v>
      </c>
    </row>
    <row r="27">
      <c r="A27" s="228" t="s">
        <v>544</v>
      </c>
      <c r="B27" s="58"/>
      <c r="C27" s="58"/>
      <c r="D27" s="58"/>
      <c r="E27" s="58"/>
      <c r="F27" s="58"/>
    </row>
    <row r="28">
      <c r="A28" s="2"/>
      <c r="B28" s="2"/>
      <c r="C28" s="2"/>
      <c r="D28" s="2"/>
      <c r="E28" s="2"/>
      <c r="F28" s="2"/>
    </row>
    <row r="29">
      <c r="A29" s="59" t="s">
        <v>29</v>
      </c>
      <c r="B29" s="60"/>
      <c r="C29" s="60"/>
      <c r="D29" s="60"/>
      <c r="E29" s="60"/>
      <c r="F29" s="60"/>
    </row>
    <row r="30">
      <c r="A30" s="59" t="s">
        <v>30</v>
      </c>
      <c r="B30" s="60"/>
      <c r="C30" s="60"/>
      <c r="D30" s="60"/>
      <c r="E30" s="60"/>
      <c r="F30" s="60"/>
    </row>
    <row r="31">
      <c r="A31" s="2"/>
      <c r="B31" s="2"/>
      <c r="C31" s="2"/>
      <c r="D31" s="2"/>
      <c r="E31" s="2"/>
      <c r="F31" s="2"/>
    </row>
  </sheetData>
  <mergeCells count="18">
    <mergeCell ref="A1:F1"/>
    <mergeCell ref="B3:C3"/>
    <mergeCell ref="A4:A6"/>
    <mergeCell ref="B4:C6"/>
    <mergeCell ref="D4:D6"/>
    <mergeCell ref="E4:E6"/>
    <mergeCell ref="F4:F6"/>
    <mergeCell ref="D10:D11"/>
    <mergeCell ref="E10:E11"/>
    <mergeCell ref="B10:C11"/>
    <mergeCell ref="A26:F26"/>
    <mergeCell ref="A7:A9"/>
    <mergeCell ref="B7:C9"/>
    <mergeCell ref="D7:D9"/>
    <mergeCell ref="E7:E9"/>
    <mergeCell ref="F7:F9"/>
    <mergeCell ref="A10:A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599</v>
      </c>
    </row>
    <row r="2">
      <c r="A2" s="489" t="s">
        <v>546</v>
      </c>
      <c r="B2" s="490"/>
      <c r="C2" s="490"/>
      <c r="D2" s="490"/>
      <c r="E2" s="490"/>
      <c r="F2" s="240"/>
    </row>
    <row r="3">
      <c r="A3" s="484" t="s">
        <v>7</v>
      </c>
      <c r="B3" s="362" t="s">
        <v>8</v>
      </c>
      <c r="C3" s="14"/>
      <c r="D3" s="491"/>
      <c r="E3" s="492"/>
      <c r="F3" s="244"/>
    </row>
    <row r="4">
      <c r="A4" s="16"/>
      <c r="C4" s="14"/>
      <c r="D4" s="366"/>
      <c r="F4" s="14"/>
    </row>
    <row r="5">
      <c r="A5" s="20"/>
      <c r="B5" s="9"/>
      <c r="C5" s="21"/>
      <c r="D5" s="367"/>
      <c r="E5" s="9"/>
      <c r="F5" s="21"/>
    </row>
    <row r="6">
      <c r="A6" s="22" t="s">
        <v>9</v>
      </c>
      <c r="B6" s="365" t="s">
        <v>10</v>
      </c>
      <c r="C6" s="244"/>
      <c r="D6" s="504"/>
      <c r="F6" s="14"/>
    </row>
    <row r="7">
      <c r="A7" s="25"/>
      <c r="B7" s="366"/>
      <c r="C7" s="14"/>
      <c r="F7" s="14"/>
    </row>
    <row r="8">
      <c r="A8" s="27"/>
      <c r="B8" s="367"/>
      <c r="C8" s="21"/>
      <c r="D8" s="9"/>
      <c r="E8" s="9"/>
      <c r="F8" s="21"/>
    </row>
    <row r="9">
      <c r="A9" s="486" t="s">
        <v>11</v>
      </c>
      <c r="B9" s="494" t="s">
        <v>547</v>
      </c>
      <c r="C9" s="244"/>
      <c r="D9" s="505"/>
      <c r="F9" s="14"/>
    </row>
    <row r="10">
      <c r="A10" s="33"/>
      <c r="B10" s="367"/>
      <c r="C10" s="21"/>
      <c r="D10" s="9"/>
      <c r="E10" s="9"/>
      <c r="F10" s="21"/>
    </row>
    <row r="11">
      <c r="A11" s="2"/>
      <c r="B11" s="2"/>
      <c r="C11" s="2"/>
      <c r="D11" s="2"/>
      <c r="E11" s="2"/>
      <c r="F11" s="2"/>
    </row>
    <row r="12">
      <c r="A12" s="496" t="s">
        <v>600</v>
      </c>
      <c r="H12" s="209"/>
      <c r="I12" s="209"/>
      <c r="J12" s="209"/>
      <c r="K12" s="209"/>
    </row>
    <row r="13">
      <c r="A13" s="45" t="s">
        <v>15</v>
      </c>
      <c r="B13" s="118"/>
      <c r="C13" s="46" t="s">
        <v>16</v>
      </c>
      <c r="D13" s="127"/>
      <c r="E13" s="47" t="s">
        <v>450</v>
      </c>
      <c r="F13" s="127"/>
      <c r="H13" s="209"/>
      <c r="I13" s="209"/>
      <c r="J13" s="209"/>
      <c r="K13" s="209"/>
    </row>
    <row r="14">
      <c r="A14" s="35" t="s">
        <v>578</v>
      </c>
      <c r="B14" s="35"/>
      <c r="C14" s="127">
        <v>7.5</v>
      </c>
      <c r="D14" s="127"/>
      <c r="E14" s="50" t="b">
        <v>0</v>
      </c>
      <c r="F14" s="127"/>
      <c r="H14" s="328"/>
      <c r="I14" s="209"/>
      <c r="J14" s="209"/>
      <c r="K14" s="209"/>
    </row>
    <row r="15">
      <c r="A15" s="35" t="s">
        <v>534</v>
      </c>
      <c r="B15" s="35"/>
      <c r="C15" s="127">
        <v>3.75</v>
      </c>
      <c r="D15" s="127"/>
      <c r="E15" s="50" t="b">
        <v>0</v>
      </c>
      <c r="F15" s="127"/>
      <c r="H15" s="328"/>
      <c r="I15" s="209"/>
      <c r="J15" s="209"/>
      <c r="K15" s="209"/>
    </row>
    <row r="16">
      <c r="A16" s="35" t="s">
        <v>577</v>
      </c>
      <c r="B16" s="35"/>
      <c r="C16" s="127">
        <v>3.75</v>
      </c>
      <c r="D16" s="127"/>
      <c r="E16" s="50" t="b">
        <v>0</v>
      </c>
      <c r="F16" s="127"/>
      <c r="H16" s="328"/>
      <c r="I16" s="209"/>
      <c r="J16" s="209"/>
      <c r="K16" s="209"/>
    </row>
    <row r="17">
      <c r="A17" s="35" t="s">
        <v>595</v>
      </c>
      <c r="B17" s="35"/>
      <c r="C17" s="127">
        <v>3.75</v>
      </c>
      <c r="D17" s="127"/>
      <c r="E17" s="50" t="b">
        <v>0</v>
      </c>
      <c r="F17" s="127"/>
      <c r="H17" s="328"/>
      <c r="I17" s="209"/>
      <c r="J17" s="209"/>
      <c r="K17" s="209"/>
    </row>
    <row r="18">
      <c r="A18" s="35" t="s">
        <v>596</v>
      </c>
      <c r="B18" s="35"/>
      <c r="C18" s="127">
        <v>0.75</v>
      </c>
      <c r="D18" s="127"/>
      <c r="E18" s="50" t="b">
        <v>0</v>
      </c>
      <c r="F18" s="127"/>
      <c r="H18" s="328"/>
      <c r="I18" s="209"/>
      <c r="J18" s="209"/>
      <c r="K18" s="209"/>
    </row>
    <row r="19">
      <c r="A19" s="35" t="s">
        <v>597</v>
      </c>
      <c r="B19" s="35"/>
      <c r="C19" s="127">
        <v>5.25</v>
      </c>
      <c r="D19" s="127"/>
      <c r="E19" s="50" t="b">
        <v>0</v>
      </c>
      <c r="F19" s="127"/>
      <c r="H19" s="328"/>
      <c r="I19" s="209"/>
      <c r="J19" s="209"/>
      <c r="K19" s="209"/>
    </row>
    <row r="20">
      <c r="A20" s="35" t="s">
        <v>536</v>
      </c>
      <c r="B20" s="35"/>
      <c r="C20" s="127">
        <v>0.75</v>
      </c>
      <c r="D20" s="127"/>
      <c r="E20" s="50" t="b">
        <v>0</v>
      </c>
      <c r="F20" s="127"/>
      <c r="H20" s="328"/>
      <c r="I20" s="209"/>
      <c r="J20" s="209"/>
      <c r="K20" s="209"/>
    </row>
    <row r="21">
      <c r="A21" s="35" t="s">
        <v>540</v>
      </c>
      <c r="B21" s="35"/>
      <c r="C21" s="127">
        <v>3.75</v>
      </c>
      <c r="D21" s="127"/>
      <c r="E21" s="50" t="b">
        <v>0</v>
      </c>
      <c r="F21" s="127"/>
      <c r="H21" s="328"/>
      <c r="I21" s="209"/>
      <c r="J21" s="209"/>
      <c r="K21" s="209"/>
    </row>
    <row r="22">
      <c r="A22" s="35" t="s">
        <v>598</v>
      </c>
      <c r="B22" s="35"/>
      <c r="C22" s="127">
        <v>0.75</v>
      </c>
      <c r="D22" s="127"/>
      <c r="E22" s="50" t="b">
        <v>0</v>
      </c>
      <c r="F22" s="127"/>
      <c r="H22" s="328"/>
      <c r="I22" s="209"/>
      <c r="J22" s="209"/>
      <c r="K22" s="209"/>
    </row>
    <row r="23">
      <c r="A23" s="35"/>
      <c r="B23" s="35"/>
      <c r="C23" s="79"/>
      <c r="D23" s="35"/>
      <c r="E23" s="35"/>
      <c r="F23" s="35"/>
      <c r="H23" s="209"/>
      <c r="I23" s="209"/>
      <c r="J23" s="209"/>
      <c r="K23" s="209"/>
    </row>
    <row r="24">
      <c r="A24" s="2"/>
      <c r="B24" s="2"/>
      <c r="C24" s="2">
        <f>sum(C14:C22)</f>
        <v>30</v>
      </c>
      <c r="D24" s="2"/>
      <c r="E24" s="2"/>
      <c r="F24" s="2"/>
      <c r="H24" s="209"/>
      <c r="I24" s="209"/>
      <c r="J24" s="209"/>
      <c r="K24" s="209"/>
    </row>
    <row r="25">
      <c r="A25" s="488" t="s">
        <v>543</v>
      </c>
    </row>
    <row r="26">
      <c r="A26" s="228" t="s">
        <v>544</v>
      </c>
      <c r="B26" s="58"/>
      <c r="C26" s="58"/>
      <c r="D26" s="58"/>
      <c r="E26" s="58"/>
      <c r="F26" s="58"/>
    </row>
    <row r="27">
      <c r="A27" s="2"/>
      <c r="B27" s="2"/>
      <c r="C27" s="2"/>
      <c r="D27" s="2"/>
      <c r="E27" s="2"/>
      <c r="F27" s="2"/>
    </row>
    <row r="28">
      <c r="A28" s="501" t="s">
        <v>550</v>
      </c>
      <c r="B28" s="60"/>
      <c r="C28" s="60"/>
      <c r="D28" s="60"/>
      <c r="E28" s="60"/>
      <c r="F28" s="60"/>
    </row>
    <row r="29">
      <c r="A29" s="501" t="s">
        <v>551</v>
      </c>
    </row>
    <row r="30">
      <c r="A30" s="2"/>
      <c r="B30" s="2"/>
      <c r="C30" s="2"/>
      <c r="D30" s="2"/>
      <c r="E30" s="2"/>
      <c r="F30" s="2"/>
    </row>
  </sheetData>
  <mergeCells count="14">
    <mergeCell ref="A6:A8"/>
    <mergeCell ref="A9:A10"/>
    <mergeCell ref="B9:C10"/>
    <mergeCell ref="D9:F10"/>
    <mergeCell ref="A12:F12"/>
    <mergeCell ref="A25:F25"/>
    <mergeCell ref="A29:F29"/>
    <mergeCell ref="A1:F1"/>
    <mergeCell ref="A2:F2"/>
    <mergeCell ref="A3:A5"/>
    <mergeCell ref="B3:C5"/>
    <mergeCell ref="D3:F5"/>
    <mergeCell ref="B6:C8"/>
    <mergeCell ref="D6:F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06" t="s">
        <v>601</v>
      </c>
    </row>
    <row r="2">
      <c r="A2" s="3"/>
      <c r="B2" s="4"/>
      <c r="C2" s="4"/>
      <c r="D2" s="360" t="s">
        <v>602</v>
      </c>
      <c r="E2" s="6"/>
      <c r="F2" s="6"/>
    </row>
    <row r="3">
      <c r="A3" s="238" t="s">
        <v>2</v>
      </c>
      <c r="B3" s="239" t="s">
        <v>3</v>
      </c>
      <c r="C3" s="240"/>
      <c r="D3" s="241" t="s">
        <v>4</v>
      </c>
      <c r="E3" s="241" t="s">
        <v>5</v>
      </c>
      <c r="F3" s="241" t="s">
        <v>6</v>
      </c>
    </row>
    <row r="4">
      <c r="A4" s="484" t="s">
        <v>7</v>
      </c>
      <c r="B4" s="362" t="s">
        <v>8</v>
      </c>
      <c r="C4" s="14"/>
      <c r="D4" s="363"/>
      <c r="E4" s="363"/>
      <c r="F4" s="363"/>
    </row>
    <row r="5">
      <c r="A5" s="16"/>
      <c r="C5" s="14"/>
      <c r="D5" s="25"/>
      <c r="E5" s="25"/>
      <c r="F5" s="25"/>
    </row>
    <row r="6">
      <c r="A6" s="20"/>
      <c r="B6" s="9"/>
      <c r="C6" s="21"/>
      <c r="D6" s="27"/>
      <c r="E6" s="27"/>
      <c r="F6" s="27"/>
    </row>
    <row r="7">
      <c r="A7" s="22" t="s">
        <v>9</v>
      </c>
      <c r="B7" s="365" t="s">
        <v>10</v>
      </c>
      <c r="C7" s="244"/>
      <c r="D7" s="24"/>
      <c r="E7" s="24"/>
      <c r="F7" s="24"/>
    </row>
    <row r="8">
      <c r="A8" s="25"/>
      <c r="B8" s="366"/>
      <c r="C8" s="14"/>
      <c r="D8" s="14"/>
      <c r="E8" s="14"/>
      <c r="F8" s="14"/>
    </row>
    <row r="9">
      <c r="A9" s="27"/>
      <c r="B9" s="367"/>
      <c r="C9" s="21"/>
      <c r="D9" s="21"/>
      <c r="E9" s="21"/>
      <c r="F9" s="21"/>
    </row>
    <row r="10">
      <c r="A10" s="486" t="s">
        <v>11</v>
      </c>
      <c r="B10" s="215" t="s">
        <v>12</v>
      </c>
      <c r="C10" s="14"/>
      <c r="D10" s="32"/>
      <c r="E10" s="32"/>
      <c r="F10" s="32"/>
    </row>
    <row r="11">
      <c r="A11" s="3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517" t="s">
        <v>603</v>
      </c>
      <c r="B13" s="35"/>
      <c r="C13" s="35"/>
      <c r="D13" s="35"/>
      <c r="E13" s="35"/>
      <c r="F13" s="35"/>
    </row>
    <row r="14">
      <c r="A14" s="45" t="s">
        <v>15</v>
      </c>
      <c r="B14" s="118"/>
      <c r="C14" s="46" t="s">
        <v>16</v>
      </c>
      <c r="D14" s="35"/>
      <c r="E14" s="35"/>
      <c r="F14" s="35"/>
    </row>
    <row r="15">
      <c r="A15" s="35" t="s">
        <v>604</v>
      </c>
      <c r="B15" s="35"/>
      <c r="C15" s="79">
        <v>10.0</v>
      </c>
      <c r="D15" s="35"/>
      <c r="E15" s="50" t="b">
        <v>0</v>
      </c>
      <c r="F15" s="35"/>
    </row>
    <row r="16">
      <c r="A16" s="35" t="s">
        <v>535</v>
      </c>
      <c r="B16" s="35"/>
      <c r="C16" s="79">
        <v>2.0</v>
      </c>
      <c r="D16" s="35"/>
      <c r="E16" s="50" t="b">
        <v>0</v>
      </c>
      <c r="F16" s="35"/>
      <c r="H16" s="290">
        <v>8.0</v>
      </c>
      <c r="I16" s="347">
        <f t="shared" ref="I16:I24" si="1">H16/2</f>
        <v>4</v>
      </c>
      <c r="J16" s="347">
        <f t="shared" ref="J16:J25" si="2">I16/10</f>
        <v>0.4</v>
      </c>
    </row>
    <row r="17">
      <c r="A17" s="35" t="s">
        <v>540</v>
      </c>
      <c r="B17" s="35"/>
      <c r="C17" s="79">
        <v>4.0</v>
      </c>
      <c r="D17" s="35"/>
      <c r="E17" s="50" t="b">
        <v>0</v>
      </c>
      <c r="F17" s="35"/>
      <c r="H17" s="290">
        <v>3.5</v>
      </c>
      <c r="I17" s="347">
        <f t="shared" si="1"/>
        <v>1.75</v>
      </c>
      <c r="J17" s="347">
        <f t="shared" si="2"/>
        <v>0.175</v>
      </c>
    </row>
    <row r="18">
      <c r="A18" s="35" t="s">
        <v>605</v>
      </c>
      <c r="B18" s="35"/>
      <c r="C18" s="79">
        <v>1.5</v>
      </c>
      <c r="D18" s="35"/>
      <c r="E18" s="50" t="b">
        <v>0</v>
      </c>
      <c r="F18" s="35"/>
      <c r="H18" s="290">
        <v>1.4</v>
      </c>
      <c r="I18" s="347">
        <f t="shared" si="1"/>
        <v>0.7</v>
      </c>
      <c r="J18" s="347">
        <f t="shared" si="2"/>
        <v>0.07</v>
      </c>
    </row>
    <row r="19">
      <c r="A19" s="517" t="s">
        <v>606</v>
      </c>
      <c r="B19" s="35"/>
      <c r="C19" s="79">
        <v>1.25</v>
      </c>
      <c r="D19" s="35"/>
      <c r="E19" s="50" t="b">
        <v>0</v>
      </c>
      <c r="F19" s="35"/>
      <c r="H19" s="290">
        <v>2.5</v>
      </c>
      <c r="I19" s="347">
        <f t="shared" si="1"/>
        <v>1.25</v>
      </c>
      <c r="J19" s="347">
        <f t="shared" si="2"/>
        <v>0.125</v>
      </c>
    </row>
    <row r="20">
      <c r="A20" s="35" t="s">
        <v>541</v>
      </c>
      <c r="B20" s="35"/>
      <c r="C20" s="79">
        <v>3.0</v>
      </c>
      <c r="D20" s="35"/>
      <c r="E20" s="50" t="b">
        <v>0</v>
      </c>
      <c r="F20" s="35"/>
      <c r="H20" s="290">
        <v>1.3</v>
      </c>
      <c r="I20" s="347">
        <f t="shared" si="1"/>
        <v>0.65</v>
      </c>
      <c r="J20" s="347">
        <f t="shared" si="2"/>
        <v>0.065</v>
      </c>
    </row>
    <row r="21">
      <c r="A21" s="35" t="s">
        <v>596</v>
      </c>
      <c r="B21" s="35"/>
      <c r="C21" s="79">
        <v>1.5</v>
      </c>
      <c r="D21" s="35"/>
      <c r="E21" s="50" t="b">
        <v>0</v>
      </c>
      <c r="F21" s="35"/>
      <c r="H21" s="79">
        <v>0.5</v>
      </c>
      <c r="I21" s="347">
        <f t="shared" si="1"/>
        <v>0.25</v>
      </c>
      <c r="J21" s="347">
        <f t="shared" si="2"/>
        <v>0.025</v>
      </c>
    </row>
    <row r="22">
      <c r="A22" s="35" t="s">
        <v>607</v>
      </c>
      <c r="B22" s="35"/>
      <c r="C22" s="79">
        <v>0.5</v>
      </c>
      <c r="D22" s="35"/>
      <c r="E22" s="50" t="b">
        <v>0</v>
      </c>
      <c r="F22" s="35"/>
      <c r="H22" s="79">
        <v>0.5</v>
      </c>
      <c r="I22" s="347">
        <f t="shared" si="1"/>
        <v>0.25</v>
      </c>
      <c r="J22" s="347">
        <f t="shared" si="2"/>
        <v>0.025</v>
      </c>
    </row>
    <row r="23">
      <c r="A23" s="225" t="s">
        <v>608</v>
      </c>
      <c r="B23" s="35"/>
      <c r="C23" s="79">
        <v>0.5</v>
      </c>
      <c r="D23" s="35"/>
      <c r="E23" s="50" t="b">
        <v>0</v>
      </c>
      <c r="F23" s="35"/>
      <c r="H23" s="290">
        <v>1.3</v>
      </c>
      <c r="I23" s="347">
        <f t="shared" si="1"/>
        <v>0.65</v>
      </c>
      <c r="J23" s="347">
        <f t="shared" si="2"/>
        <v>0.065</v>
      </c>
    </row>
    <row r="24">
      <c r="A24" s="78" t="s">
        <v>609</v>
      </c>
      <c r="B24" s="35"/>
      <c r="C24" s="290">
        <v>1.0</v>
      </c>
      <c r="D24" s="35"/>
      <c r="E24" s="50" t="b">
        <v>0</v>
      </c>
      <c r="F24" s="35"/>
      <c r="H24" s="290">
        <v>1.0</v>
      </c>
      <c r="I24" s="347">
        <f t="shared" si="1"/>
        <v>0.5</v>
      </c>
      <c r="J24" s="347">
        <f t="shared" si="2"/>
        <v>0.05</v>
      </c>
    </row>
    <row r="25">
      <c r="A25" s="2"/>
      <c r="B25" s="2"/>
      <c r="C25" s="2"/>
      <c r="D25" s="2"/>
      <c r="E25" s="2"/>
      <c r="F25" s="2"/>
      <c r="H25" s="518">
        <f t="shared" ref="H25:I25" si="3">sum(H16:H24)</f>
        <v>20</v>
      </c>
      <c r="I25" s="347">
        <f t="shared" si="3"/>
        <v>10</v>
      </c>
      <c r="J25" s="347">
        <f t="shared" si="2"/>
        <v>1</v>
      </c>
    </row>
    <row r="26">
      <c r="A26" s="488" t="s">
        <v>543</v>
      </c>
    </row>
    <row r="27">
      <c r="A27" s="228" t="s">
        <v>544</v>
      </c>
      <c r="B27" s="58"/>
      <c r="C27" s="58"/>
      <c r="D27" s="58"/>
      <c r="E27" s="58"/>
      <c r="F27" s="58"/>
    </row>
    <row r="28">
      <c r="A28" s="2"/>
      <c r="B28" s="2"/>
      <c r="C28" s="2"/>
      <c r="D28" s="2"/>
      <c r="E28" s="2"/>
      <c r="F28" s="2"/>
    </row>
    <row r="29">
      <c r="A29" s="59" t="s">
        <v>29</v>
      </c>
      <c r="B29" s="60"/>
      <c r="C29" s="60"/>
      <c r="D29" s="60"/>
      <c r="E29" s="60"/>
      <c r="F29" s="60"/>
    </row>
    <row r="30">
      <c r="A30" s="59" t="s">
        <v>30</v>
      </c>
      <c r="B30" s="60"/>
      <c r="C30" s="60"/>
      <c r="D30" s="60"/>
      <c r="E30" s="60"/>
      <c r="F30" s="60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</sheetData>
  <mergeCells count="18">
    <mergeCell ref="A1:F1"/>
    <mergeCell ref="B3:C3"/>
    <mergeCell ref="A4:A6"/>
    <mergeCell ref="B4:C6"/>
    <mergeCell ref="D4:D6"/>
    <mergeCell ref="E4:E6"/>
    <mergeCell ref="F4:F6"/>
    <mergeCell ref="D10:D11"/>
    <mergeCell ref="E10:E11"/>
    <mergeCell ref="B10:C11"/>
    <mergeCell ref="A26:F26"/>
    <mergeCell ref="A7:A9"/>
    <mergeCell ref="B7:C9"/>
    <mergeCell ref="D7:D9"/>
    <mergeCell ref="E7:E9"/>
    <mergeCell ref="F7:F9"/>
    <mergeCell ref="A10:A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610</v>
      </c>
    </row>
    <row r="2">
      <c r="A2" s="489" t="s">
        <v>589</v>
      </c>
      <c r="B2" s="490"/>
      <c r="C2" s="490"/>
      <c r="D2" s="490"/>
      <c r="E2" s="490"/>
      <c r="F2" s="240"/>
    </row>
    <row r="3">
      <c r="A3" s="484" t="s">
        <v>7</v>
      </c>
      <c r="B3" s="362" t="s">
        <v>8</v>
      </c>
      <c r="C3" s="14"/>
      <c r="D3" s="491"/>
      <c r="E3" s="492"/>
      <c r="F3" s="244"/>
    </row>
    <row r="4">
      <c r="A4" s="16"/>
      <c r="C4" s="14"/>
      <c r="D4" s="366"/>
      <c r="F4" s="14"/>
    </row>
    <row r="5">
      <c r="A5" s="20"/>
      <c r="B5" s="9"/>
      <c r="C5" s="21"/>
      <c r="D5" s="367"/>
      <c r="E5" s="9"/>
      <c r="F5" s="21"/>
    </row>
    <row r="6">
      <c r="A6" s="22" t="s">
        <v>9</v>
      </c>
      <c r="B6" s="365" t="s">
        <v>10</v>
      </c>
      <c r="C6" s="244"/>
      <c r="D6" s="504"/>
      <c r="F6" s="14"/>
    </row>
    <row r="7">
      <c r="A7" s="25"/>
      <c r="B7" s="366"/>
      <c r="C7" s="14"/>
      <c r="F7" s="14"/>
    </row>
    <row r="8">
      <c r="A8" s="27"/>
      <c r="B8" s="367"/>
      <c r="C8" s="21"/>
      <c r="D8" s="9"/>
      <c r="E8" s="9"/>
      <c r="F8" s="21"/>
    </row>
    <row r="9">
      <c r="A9" s="486" t="s">
        <v>11</v>
      </c>
      <c r="B9" s="494" t="s">
        <v>547</v>
      </c>
      <c r="C9" s="244"/>
      <c r="D9" s="505"/>
      <c r="F9" s="14"/>
    </row>
    <row r="10">
      <c r="A10" s="33"/>
      <c r="B10" s="367"/>
      <c r="C10" s="21"/>
      <c r="D10" s="9"/>
      <c r="E10" s="9"/>
      <c r="F10" s="21"/>
    </row>
    <row r="11">
      <c r="A11" s="2"/>
      <c r="B11" s="2"/>
      <c r="C11" s="2"/>
      <c r="D11" s="2"/>
      <c r="E11" s="2"/>
      <c r="F11" s="2"/>
    </row>
    <row r="12">
      <c r="A12" s="517" t="s">
        <v>611</v>
      </c>
      <c r="B12" s="35"/>
      <c r="C12" s="35"/>
      <c r="D12" s="35"/>
      <c r="E12" s="35"/>
      <c r="F12" s="35"/>
      <c r="G12" s="209"/>
      <c r="H12" s="209"/>
      <c r="I12" s="209"/>
    </row>
    <row r="13">
      <c r="A13" s="45" t="s">
        <v>15</v>
      </c>
      <c r="B13" s="118"/>
      <c r="C13" s="46" t="s">
        <v>16</v>
      </c>
      <c r="D13" s="35"/>
      <c r="E13" s="497" t="s">
        <v>450</v>
      </c>
      <c r="F13" s="35"/>
      <c r="G13" s="209"/>
      <c r="H13" s="209"/>
      <c r="I13" s="209"/>
      <c r="J13" s="209"/>
    </row>
    <row r="14">
      <c r="A14" s="35" t="s">
        <v>604</v>
      </c>
      <c r="B14" s="35"/>
      <c r="C14" s="290">
        <v>8.0</v>
      </c>
      <c r="D14" s="35"/>
      <c r="E14" s="50" t="b">
        <v>0</v>
      </c>
      <c r="F14" s="35"/>
      <c r="G14" s="41"/>
      <c r="H14" s="290">
        <v>8.0</v>
      </c>
      <c r="I14" s="164">
        <f t="shared" ref="I14:I22" si="1">H14/20</f>
        <v>0.4</v>
      </c>
      <c r="J14" s="209"/>
    </row>
    <row r="15">
      <c r="A15" s="35" t="s">
        <v>540</v>
      </c>
      <c r="B15" s="35"/>
      <c r="C15" s="290">
        <v>3.5</v>
      </c>
      <c r="D15" s="35"/>
      <c r="E15" s="50" t="b">
        <v>0</v>
      </c>
      <c r="F15" s="35"/>
      <c r="G15" s="41"/>
      <c r="H15" s="290">
        <v>3.5</v>
      </c>
      <c r="I15" s="164">
        <f t="shared" si="1"/>
        <v>0.175</v>
      </c>
      <c r="J15" s="209"/>
    </row>
    <row r="16">
      <c r="A16" s="35" t="s">
        <v>605</v>
      </c>
      <c r="B16" s="35"/>
      <c r="C16" s="290">
        <v>1.4</v>
      </c>
      <c r="D16" s="35"/>
      <c r="E16" s="50" t="b">
        <v>0</v>
      </c>
      <c r="F16" s="35"/>
      <c r="G16" s="41"/>
      <c r="H16" s="290">
        <v>1.4</v>
      </c>
      <c r="I16" s="164">
        <f t="shared" si="1"/>
        <v>0.07</v>
      </c>
      <c r="J16" s="209"/>
    </row>
    <row r="17">
      <c r="A17" s="35" t="s">
        <v>541</v>
      </c>
      <c r="B17" s="35"/>
      <c r="C17" s="290">
        <v>2.5</v>
      </c>
      <c r="D17" s="35"/>
      <c r="E17" s="50" t="b">
        <v>0</v>
      </c>
      <c r="F17" s="35"/>
      <c r="G17" s="41"/>
      <c r="H17" s="290">
        <v>2.5</v>
      </c>
      <c r="I17" s="164">
        <f t="shared" si="1"/>
        <v>0.125</v>
      </c>
      <c r="J17" s="209"/>
    </row>
    <row r="18">
      <c r="A18" s="35" t="s">
        <v>596</v>
      </c>
      <c r="B18" s="35"/>
      <c r="C18" s="290">
        <v>1.3</v>
      </c>
      <c r="D18" s="35"/>
      <c r="E18" s="50" t="b">
        <v>0</v>
      </c>
      <c r="F18" s="35"/>
      <c r="G18" s="41"/>
      <c r="H18" s="290">
        <v>1.3</v>
      </c>
      <c r="I18" s="164">
        <f t="shared" si="1"/>
        <v>0.065</v>
      </c>
      <c r="J18" s="209"/>
    </row>
    <row r="19">
      <c r="A19" s="35" t="s">
        <v>607</v>
      </c>
      <c r="B19" s="35"/>
      <c r="C19" s="79">
        <v>0.5</v>
      </c>
      <c r="D19" s="35"/>
      <c r="E19" s="50" t="b">
        <v>0</v>
      </c>
      <c r="F19" s="35"/>
      <c r="G19" s="41"/>
      <c r="H19" s="79">
        <v>0.5</v>
      </c>
      <c r="I19" s="164">
        <f t="shared" si="1"/>
        <v>0.025</v>
      </c>
      <c r="J19" s="209"/>
    </row>
    <row r="20">
      <c r="A20" s="225" t="s">
        <v>608</v>
      </c>
      <c r="B20" s="35"/>
      <c r="C20" s="79">
        <v>0.5</v>
      </c>
      <c r="D20" s="35"/>
      <c r="E20" s="50" t="b">
        <v>0</v>
      </c>
      <c r="F20" s="35"/>
      <c r="G20" s="41"/>
      <c r="H20" s="79">
        <v>0.5</v>
      </c>
      <c r="I20" s="164">
        <f t="shared" si="1"/>
        <v>0.025</v>
      </c>
      <c r="J20" s="209"/>
      <c r="L20" s="114"/>
    </row>
    <row r="21">
      <c r="A21" s="517" t="s">
        <v>612</v>
      </c>
      <c r="B21" s="35"/>
      <c r="C21" s="290">
        <v>1.3</v>
      </c>
      <c r="D21" s="35"/>
      <c r="E21" s="50" t="b">
        <v>0</v>
      </c>
      <c r="F21" s="35"/>
      <c r="G21" s="519"/>
      <c r="H21" s="290">
        <v>1.3</v>
      </c>
      <c r="I21" s="164">
        <f t="shared" si="1"/>
        <v>0.065</v>
      </c>
      <c r="J21" s="209"/>
    </row>
    <row r="22">
      <c r="A22" s="78" t="s">
        <v>609</v>
      </c>
      <c r="B22" s="35"/>
      <c r="C22" s="290">
        <v>1.0</v>
      </c>
      <c r="D22" s="35"/>
      <c r="E22" s="35"/>
      <c r="F22" s="35"/>
      <c r="G22" s="41"/>
      <c r="H22" s="290">
        <v>1.0</v>
      </c>
      <c r="I22" s="164">
        <f t="shared" si="1"/>
        <v>0.05</v>
      </c>
      <c r="J22" s="209"/>
    </row>
    <row r="23">
      <c r="A23" s="2"/>
      <c r="B23" s="2"/>
      <c r="C23" s="2"/>
      <c r="D23" s="2"/>
      <c r="E23" s="2"/>
      <c r="F23" s="2"/>
      <c r="G23" s="209"/>
      <c r="H23" s="209"/>
      <c r="I23" s="209"/>
      <c r="J23" s="209"/>
    </row>
    <row r="24">
      <c r="A24" s="488" t="s">
        <v>543</v>
      </c>
      <c r="G24" s="209"/>
      <c r="H24" s="209"/>
      <c r="I24" s="209"/>
      <c r="J24" s="209"/>
    </row>
    <row r="25">
      <c r="A25" s="228" t="s">
        <v>544</v>
      </c>
      <c r="B25" s="58"/>
      <c r="C25" s="58"/>
      <c r="D25" s="58"/>
      <c r="E25" s="58"/>
      <c r="F25" s="58"/>
    </row>
    <row r="26">
      <c r="A26" s="2"/>
      <c r="B26" s="2"/>
      <c r="C26" s="2"/>
      <c r="D26" s="2"/>
      <c r="E26" s="2"/>
      <c r="F26" s="2"/>
    </row>
    <row r="27">
      <c r="A27" s="501" t="s">
        <v>550</v>
      </c>
      <c r="B27" s="60"/>
      <c r="C27" s="60"/>
      <c r="D27" s="60"/>
      <c r="E27" s="60"/>
      <c r="F27" s="60"/>
    </row>
    <row r="28">
      <c r="A28" s="501" t="s">
        <v>551</v>
      </c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</sheetData>
  <mergeCells count="13">
    <mergeCell ref="A6:A8"/>
    <mergeCell ref="A9:A10"/>
    <mergeCell ref="B9:C10"/>
    <mergeCell ref="D9:F10"/>
    <mergeCell ref="A24:F24"/>
    <mergeCell ref="A28:F28"/>
    <mergeCell ref="A1:F1"/>
    <mergeCell ref="A2:F2"/>
    <mergeCell ref="A3:A5"/>
    <mergeCell ref="B3:C5"/>
    <mergeCell ref="D3:F5"/>
    <mergeCell ref="B6:C8"/>
    <mergeCell ref="D6:F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613</v>
      </c>
    </row>
    <row r="2">
      <c r="A2" s="3"/>
      <c r="B2" s="4"/>
      <c r="C2" s="4"/>
      <c r="D2" s="360" t="s">
        <v>364</v>
      </c>
      <c r="E2" s="6"/>
      <c r="F2" s="6"/>
    </row>
    <row r="3">
      <c r="A3" s="238" t="s">
        <v>2</v>
      </c>
      <c r="B3" s="239" t="s">
        <v>3</v>
      </c>
      <c r="C3" s="240"/>
      <c r="D3" s="241" t="s">
        <v>4</v>
      </c>
      <c r="E3" s="241" t="s">
        <v>5</v>
      </c>
      <c r="F3" s="241" t="s">
        <v>6</v>
      </c>
    </row>
    <row r="4">
      <c r="A4" s="484" t="s">
        <v>7</v>
      </c>
      <c r="B4" s="362" t="s">
        <v>614</v>
      </c>
      <c r="C4" s="14"/>
      <c r="D4" s="363"/>
      <c r="E4" s="363"/>
      <c r="F4" s="363"/>
    </row>
    <row r="5">
      <c r="A5" s="16"/>
      <c r="C5" s="14"/>
      <c r="D5" s="25"/>
      <c r="E5" s="25"/>
      <c r="F5" s="25"/>
    </row>
    <row r="6">
      <c r="A6" s="20"/>
      <c r="B6" s="9"/>
      <c r="C6" s="21"/>
      <c r="D6" s="27"/>
      <c r="E6" s="27"/>
      <c r="F6" s="27"/>
    </row>
    <row r="7">
      <c r="A7" s="22" t="s">
        <v>615</v>
      </c>
      <c r="B7" s="365" t="s">
        <v>10</v>
      </c>
      <c r="C7" s="244"/>
      <c r="D7" s="24"/>
      <c r="E7" s="24"/>
      <c r="F7" s="24"/>
    </row>
    <row r="8">
      <c r="A8" s="25"/>
      <c r="B8" s="366"/>
      <c r="C8" s="14"/>
      <c r="D8" s="14"/>
      <c r="E8" s="14"/>
      <c r="F8" s="14"/>
    </row>
    <row r="9">
      <c r="A9" s="27"/>
      <c r="B9" s="367"/>
      <c r="C9" s="21"/>
      <c r="D9" s="21"/>
      <c r="E9" s="21"/>
      <c r="F9" s="21"/>
    </row>
    <row r="10">
      <c r="A10" s="486" t="s">
        <v>11</v>
      </c>
      <c r="B10" s="31" t="s">
        <v>12</v>
      </c>
      <c r="C10" s="14"/>
      <c r="D10" s="32"/>
      <c r="E10" s="32"/>
      <c r="F10" s="32"/>
    </row>
    <row r="11">
      <c r="A11" s="3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225" t="s">
        <v>616</v>
      </c>
      <c r="B13" s="35"/>
      <c r="C13" s="35"/>
      <c r="D13" s="35"/>
      <c r="E13" s="35"/>
      <c r="F13" s="35"/>
    </row>
    <row r="14">
      <c r="A14" s="45" t="s">
        <v>15</v>
      </c>
      <c r="B14" s="118"/>
      <c r="C14" s="46" t="s">
        <v>16</v>
      </c>
      <c r="D14" s="35"/>
      <c r="E14" s="35"/>
      <c r="F14" s="35"/>
    </row>
    <row r="15">
      <c r="A15" s="225" t="s">
        <v>617</v>
      </c>
      <c r="B15" s="35"/>
      <c r="C15" s="79">
        <v>8.0</v>
      </c>
      <c r="D15" s="35"/>
      <c r="E15" s="50" t="b">
        <v>0</v>
      </c>
      <c r="F15" s="35"/>
      <c r="H15" s="79">
        <v>8.0</v>
      </c>
      <c r="I15" s="347">
        <f t="shared" ref="I15:I18" si="1">H15/8</f>
        <v>1</v>
      </c>
    </row>
    <row r="16">
      <c r="A16" s="225" t="s">
        <v>618</v>
      </c>
      <c r="B16" s="35"/>
      <c r="C16" s="79">
        <v>4.0</v>
      </c>
      <c r="D16" s="35"/>
      <c r="E16" s="50" t="b">
        <v>0</v>
      </c>
      <c r="F16" s="35"/>
      <c r="H16" s="79">
        <v>4.0</v>
      </c>
      <c r="I16" s="347">
        <f t="shared" si="1"/>
        <v>0.5</v>
      </c>
    </row>
    <row r="17">
      <c r="A17" s="225" t="s">
        <v>619</v>
      </c>
      <c r="B17" s="35"/>
      <c r="C17" s="79">
        <v>4.0</v>
      </c>
      <c r="D17" s="35"/>
      <c r="E17" s="50" t="b">
        <v>0</v>
      </c>
      <c r="F17" s="35"/>
      <c r="H17" s="79">
        <v>4.0</v>
      </c>
      <c r="I17" s="347">
        <f t="shared" si="1"/>
        <v>0.5</v>
      </c>
    </row>
    <row r="18">
      <c r="A18" s="35" t="s">
        <v>620</v>
      </c>
      <c r="B18" s="35"/>
      <c r="C18" s="79">
        <v>64.0</v>
      </c>
      <c r="D18" s="35"/>
      <c r="E18" s="50" t="b">
        <v>0</v>
      </c>
      <c r="F18" s="35"/>
      <c r="H18" s="79">
        <v>64.0</v>
      </c>
      <c r="I18" s="347">
        <f t="shared" si="1"/>
        <v>8</v>
      </c>
    </row>
    <row r="19">
      <c r="A19" s="78" t="s">
        <v>621</v>
      </c>
      <c r="B19" s="35"/>
      <c r="C19" s="56"/>
      <c r="D19" s="35"/>
      <c r="E19" s="35"/>
      <c r="F19" s="35"/>
    </row>
    <row r="20">
      <c r="A20" s="2"/>
      <c r="B20" s="2"/>
      <c r="C20" s="273">
        <f>sum(C15:C18)</f>
        <v>80</v>
      </c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488" t="s">
        <v>543</v>
      </c>
    </row>
    <row r="23">
      <c r="A23" s="228" t="s">
        <v>622</v>
      </c>
      <c r="B23" s="58"/>
      <c r="C23" s="58"/>
      <c r="D23" s="58"/>
      <c r="E23" s="58"/>
      <c r="F23" s="58"/>
    </row>
    <row r="24">
      <c r="A24" s="228" t="s">
        <v>544</v>
      </c>
      <c r="B24" s="58"/>
      <c r="C24" s="58"/>
      <c r="D24" s="58"/>
      <c r="E24" s="58"/>
      <c r="F24" s="58"/>
    </row>
    <row r="25">
      <c r="A25" s="373" t="s">
        <v>623</v>
      </c>
    </row>
    <row r="27">
      <c r="A27" s="2"/>
      <c r="B27" s="2"/>
      <c r="C27" s="2"/>
      <c r="D27" s="2"/>
      <c r="E27" s="2"/>
      <c r="F27" s="2"/>
    </row>
    <row r="28">
      <c r="A28" s="59" t="s">
        <v>29</v>
      </c>
      <c r="B28" s="60"/>
      <c r="C28" s="60"/>
      <c r="D28" s="60"/>
      <c r="E28" s="60"/>
      <c r="F28" s="60"/>
    </row>
    <row r="29">
      <c r="A29" s="59" t="s">
        <v>30</v>
      </c>
      <c r="B29" s="60"/>
      <c r="C29" s="60"/>
      <c r="D29" s="60"/>
      <c r="E29" s="60"/>
      <c r="F29" s="60"/>
    </row>
    <row r="30">
      <c r="A30" s="2"/>
      <c r="B30" s="2"/>
      <c r="C30" s="2"/>
      <c r="D30" s="2"/>
      <c r="E30" s="2"/>
      <c r="F30" s="2"/>
    </row>
  </sheetData>
  <mergeCells count="19">
    <mergeCell ref="A1:F1"/>
    <mergeCell ref="B3:C3"/>
    <mergeCell ref="A4:A6"/>
    <mergeCell ref="B4:C6"/>
    <mergeCell ref="D4:D6"/>
    <mergeCell ref="E4:E6"/>
    <mergeCell ref="F4:F6"/>
    <mergeCell ref="D10:D11"/>
    <mergeCell ref="E10:E11"/>
    <mergeCell ref="B10:C11"/>
    <mergeCell ref="A22:F22"/>
    <mergeCell ref="A25:F26"/>
    <mergeCell ref="A7:A9"/>
    <mergeCell ref="B7:C9"/>
    <mergeCell ref="D7:D9"/>
    <mergeCell ref="E7:E9"/>
    <mergeCell ref="F7:F9"/>
    <mergeCell ref="A10:A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624</v>
      </c>
    </row>
    <row r="2">
      <c r="A2" s="489" t="s">
        <v>625</v>
      </c>
      <c r="B2" s="490"/>
      <c r="C2" s="490"/>
      <c r="D2" s="490"/>
      <c r="E2" s="490"/>
      <c r="F2" s="240"/>
    </row>
    <row r="3">
      <c r="A3" s="484" t="s">
        <v>7</v>
      </c>
      <c r="B3" s="362" t="s">
        <v>614</v>
      </c>
      <c r="C3" s="14"/>
      <c r="D3" s="491"/>
      <c r="E3" s="492"/>
      <c r="F3" s="244"/>
    </row>
    <row r="4">
      <c r="A4" s="16"/>
      <c r="C4" s="14"/>
      <c r="D4" s="366"/>
      <c r="F4" s="14"/>
    </row>
    <row r="5">
      <c r="A5" s="20"/>
      <c r="B5" s="9"/>
      <c r="C5" s="21"/>
      <c r="D5" s="367"/>
      <c r="E5" s="9"/>
      <c r="F5" s="21"/>
    </row>
    <row r="6">
      <c r="A6" s="364" t="s">
        <v>9</v>
      </c>
      <c r="B6" s="365" t="s">
        <v>10</v>
      </c>
      <c r="C6" s="244"/>
      <c r="D6" s="504"/>
      <c r="F6" s="14"/>
    </row>
    <row r="7">
      <c r="A7" s="25"/>
      <c r="B7" s="366"/>
      <c r="C7" s="14"/>
      <c r="F7" s="14"/>
    </row>
    <row r="8">
      <c r="A8" s="27"/>
      <c r="B8" s="367"/>
      <c r="C8" s="21"/>
      <c r="D8" s="9"/>
      <c r="E8" s="9"/>
      <c r="F8" s="21"/>
    </row>
    <row r="9">
      <c r="A9" s="486" t="s">
        <v>11</v>
      </c>
      <c r="B9" s="494" t="s">
        <v>547</v>
      </c>
      <c r="C9" s="244"/>
      <c r="D9" s="505"/>
      <c r="F9" s="14"/>
    </row>
    <row r="10">
      <c r="A10" s="33"/>
      <c r="B10" s="367"/>
      <c r="C10" s="21"/>
      <c r="D10" s="9"/>
      <c r="E10" s="9"/>
      <c r="F10" s="21"/>
      <c r="H10" s="209"/>
      <c r="I10" s="209"/>
      <c r="J10" s="209"/>
      <c r="K10" s="209"/>
    </row>
    <row r="11">
      <c r="A11" s="2"/>
      <c r="B11" s="2"/>
      <c r="C11" s="2"/>
      <c r="D11" s="2"/>
      <c r="E11" s="2"/>
      <c r="F11" s="2"/>
      <c r="H11" s="209"/>
      <c r="I11" s="209"/>
      <c r="J11" s="209"/>
      <c r="K11" s="209"/>
    </row>
    <row r="12">
      <c r="A12" s="225" t="s">
        <v>616</v>
      </c>
      <c r="B12" s="35"/>
      <c r="C12" s="35"/>
      <c r="D12" s="35"/>
      <c r="E12" s="35"/>
      <c r="F12" s="35"/>
      <c r="H12" s="209"/>
      <c r="I12" s="209"/>
      <c r="J12" s="209"/>
      <c r="K12" s="209"/>
    </row>
    <row r="13">
      <c r="A13" s="45" t="s">
        <v>15</v>
      </c>
      <c r="B13" s="118"/>
      <c r="C13" s="46" t="s">
        <v>16</v>
      </c>
      <c r="D13" s="35"/>
      <c r="E13" s="497" t="s">
        <v>450</v>
      </c>
      <c r="F13" s="35"/>
      <c r="H13" s="209"/>
      <c r="I13" s="328"/>
      <c r="J13" s="209"/>
      <c r="K13" s="209"/>
    </row>
    <row r="14">
      <c r="A14" s="225" t="s">
        <v>617</v>
      </c>
      <c r="B14" s="35"/>
      <c r="C14" s="498">
        <v>5.0</v>
      </c>
      <c r="D14" s="35"/>
      <c r="E14" s="50" t="b">
        <v>0</v>
      </c>
      <c r="F14" s="35"/>
      <c r="H14" s="209"/>
      <c r="I14" s="328"/>
      <c r="J14" s="209"/>
      <c r="K14" s="209"/>
    </row>
    <row r="15">
      <c r="A15" s="225" t="s">
        <v>618</v>
      </c>
      <c r="B15" s="35"/>
      <c r="C15" s="498">
        <v>2.5</v>
      </c>
      <c r="D15" s="35"/>
      <c r="E15" s="50" t="b">
        <v>0</v>
      </c>
      <c r="F15" s="35"/>
      <c r="H15" s="209"/>
      <c r="I15" s="328"/>
      <c r="J15" s="209"/>
      <c r="K15" s="209"/>
    </row>
    <row r="16">
      <c r="A16" s="225" t="s">
        <v>619</v>
      </c>
      <c r="B16" s="35"/>
      <c r="C16" s="498">
        <v>2.5</v>
      </c>
      <c r="D16" s="35"/>
      <c r="E16" s="50" t="b">
        <v>0</v>
      </c>
      <c r="F16" s="35"/>
      <c r="H16" s="209"/>
      <c r="I16" s="328"/>
      <c r="J16" s="209"/>
      <c r="K16" s="209"/>
    </row>
    <row r="17">
      <c r="A17" s="78" t="s">
        <v>626</v>
      </c>
      <c r="B17" s="35"/>
      <c r="C17" s="498">
        <v>30.0</v>
      </c>
      <c r="D17" s="35"/>
      <c r="E17" s="50" t="b">
        <v>0</v>
      </c>
      <c r="F17" s="35"/>
      <c r="H17" s="209"/>
      <c r="I17" s="329"/>
      <c r="J17" s="209"/>
      <c r="K17" s="209"/>
    </row>
    <row r="18">
      <c r="A18" s="78" t="s">
        <v>627</v>
      </c>
      <c r="B18" s="35"/>
      <c r="C18" s="520">
        <v>10.0</v>
      </c>
      <c r="D18" s="35"/>
      <c r="E18" s="50" t="b">
        <v>0</v>
      </c>
      <c r="F18" s="35"/>
      <c r="H18" s="209"/>
      <c r="I18" s="209"/>
      <c r="J18" s="209"/>
      <c r="K18" s="209"/>
    </row>
    <row r="19">
      <c r="A19" s="35"/>
      <c r="B19" s="35"/>
      <c r="C19" s="35"/>
      <c r="D19" s="35"/>
      <c r="E19" s="35"/>
      <c r="F19" s="35"/>
      <c r="H19" s="209"/>
      <c r="I19" s="209"/>
      <c r="J19" s="209"/>
      <c r="K19" s="209"/>
    </row>
    <row r="20">
      <c r="A20" s="2"/>
      <c r="B20" s="2"/>
      <c r="C20" s="2"/>
      <c r="D20" s="2"/>
      <c r="E20" s="2"/>
      <c r="F20" s="2"/>
      <c r="H20" s="209"/>
      <c r="I20" s="209"/>
      <c r="J20" s="209"/>
      <c r="K20" s="209"/>
    </row>
    <row r="21">
      <c r="A21" s="488" t="s">
        <v>543</v>
      </c>
      <c r="H21" s="209"/>
      <c r="I21" s="209"/>
      <c r="J21" s="209"/>
      <c r="K21" s="209"/>
    </row>
    <row r="22">
      <c r="A22" s="228" t="s">
        <v>622</v>
      </c>
      <c r="B22" s="58"/>
      <c r="C22" s="58"/>
      <c r="D22" s="58"/>
      <c r="E22" s="58"/>
      <c r="F22" s="58"/>
      <c r="H22" s="209"/>
      <c r="I22" s="209"/>
      <c r="J22" s="209"/>
      <c r="K22" s="209"/>
    </row>
    <row r="23">
      <c r="A23" s="228" t="s">
        <v>544</v>
      </c>
      <c r="B23" s="58"/>
      <c r="C23" s="58"/>
      <c r="D23" s="58"/>
      <c r="E23" s="58"/>
      <c r="F23" s="58"/>
      <c r="H23" s="209"/>
      <c r="I23" s="209"/>
      <c r="J23" s="209"/>
      <c r="K23" s="209"/>
    </row>
    <row r="24">
      <c r="A24" s="373" t="s">
        <v>623</v>
      </c>
    </row>
    <row r="26">
      <c r="A26" s="2"/>
      <c r="B26" s="2"/>
      <c r="C26" s="2"/>
      <c r="D26" s="2"/>
      <c r="E26" s="2"/>
      <c r="F26" s="2"/>
    </row>
    <row r="27">
      <c r="A27" s="501" t="s">
        <v>550</v>
      </c>
      <c r="B27" s="60"/>
      <c r="C27" s="60"/>
      <c r="D27" s="60"/>
      <c r="E27" s="60"/>
      <c r="F27" s="60"/>
    </row>
    <row r="28">
      <c r="A28" s="501" t="s">
        <v>551</v>
      </c>
    </row>
    <row r="29">
      <c r="A29" s="2"/>
      <c r="B29" s="2"/>
      <c r="C29" s="2"/>
      <c r="D29" s="2"/>
      <c r="E29" s="2"/>
      <c r="F29" s="2"/>
    </row>
  </sheetData>
  <mergeCells count="14">
    <mergeCell ref="A6:A8"/>
    <mergeCell ref="A9:A10"/>
    <mergeCell ref="B9:C10"/>
    <mergeCell ref="D9:F10"/>
    <mergeCell ref="A21:F21"/>
    <mergeCell ref="A24:F25"/>
    <mergeCell ref="A28:F28"/>
    <mergeCell ref="A1:F1"/>
    <mergeCell ref="A2:F2"/>
    <mergeCell ref="A3:A5"/>
    <mergeCell ref="B3:C5"/>
    <mergeCell ref="D3:F5"/>
    <mergeCell ref="B6:C8"/>
    <mergeCell ref="D6:F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628</v>
      </c>
    </row>
    <row r="2">
      <c r="A2" s="3"/>
      <c r="B2" s="4"/>
      <c r="C2" s="4"/>
      <c r="D2" s="360" t="s">
        <v>629</v>
      </c>
      <c r="E2" s="6"/>
      <c r="F2" s="6"/>
    </row>
    <row r="3">
      <c r="A3" s="238" t="s">
        <v>2</v>
      </c>
      <c r="B3" s="239" t="s">
        <v>3</v>
      </c>
      <c r="C3" s="240"/>
      <c r="D3" s="241" t="s">
        <v>4</v>
      </c>
      <c r="E3" s="241" t="s">
        <v>5</v>
      </c>
      <c r="F3" s="241" t="s">
        <v>6</v>
      </c>
    </row>
    <row r="4">
      <c r="A4" s="484" t="s">
        <v>7</v>
      </c>
      <c r="B4" s="13" t="s">
        <v>614</v>
      </c>
      <c r="C4" s="14"/>
      <c r="D4" s="363"/>
      <c r="E4" s="363"/>
      <c r="F4" s="363"/>
    </row>
    <row r="5">
      <c r="A5" s="16"/>
      <c r="C5" s="14"/>
      <c r="D5" s="25"/>
      <c r="E5" s="25"/>
      <c r="F5" s="25"/>
    </row>
    <row r="6">
      <c r="A6" s="20"/>
      <c r="B6" s="9"/>
      <c r="C6" s="21"/>
      <c r="D6" s="27"/>
      <c r="E6" s="27"/>
      <c r="F6" s="27"/>
    </row>
    <row r="7">
      <c r="A7" s="22" t="s">
        <v>615</v>
      </c>
      <c r="B7" s="365" t="s">
        <v>10</v>
      </c>
      <c r="C7" s="244"/>
      <c r="D7" s="24"/>
      <c r="E7" s="24"/>
      <c r="F7" s="24"/>
    </row>
    <row r="8">
      <c r="A8" s="25"/>
      <c r="B8" s="366"/>
      <c r="C8" s="14"/>
      <c r="D8" s="14"/>
      <c r="E8" s="14"/>
      <c r="F8" s="14"/>
    </row>
    <row r="9">
      <c r="A9" s="27"/>
      <c r="B9" s="367"/>
      <c r="C9" s="21"/>
      <c r="D9" s="21"/>
      <c r="E9" s="21"/>
      <c r="F9" s="21"/>
    </row>
    <row r="10">
      <c r="A10" s="486" t="s">
        <v>11</v>
      </c>
      <c r="B10" s="31" t="s">
        <v>12</v>
      </c>
      <c r="C10" s="14"/>
      <c r="D10" s="32"/>
      <c r="E10" s="32"/>
      <c r="F10" s="32"/>
    </row>
    <row r="11">
      <c r="A11" s="3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225" t="s">
        <v>616</v>
      </c>
      <c r="B13" s="35"/>
      <c r="C13" s="35"/>
      <c r="D13" s="35"/>
      <c r="E13" s="35"/>
      <c r="F13" s="35"/>
    </row>
    <row r="14">
      <c r="A14" s="45" t="s">
        <v>15</v>
      </c>
      <c r="B14" s="118"/>
      <c r="C14" s="46" t="s">
        <v>16</v>
      </c>
      <c r="D14" s="35"/>
      <c r="E14" s="35"/>
      <c r="F14" s="35"/>
    </row>
    <row r="15">
      <c r="A15" s="35" t="s">
        <v>505</v>
      </c>
      <c r="B15" s="35"/>
      <c r="C15" s="290">
        <v>2.4</v>
      </c>
      <c r="D15" s="35"/>
      <c r="E15" s="50" t="b">
        <v>0</v>
      </c>
      <c r="F15" s="35"/>
    </row>
    <row r="16">
      <c r="A16" s="35" t="s">
        <v>506</v>
      </c>
      <c r="B16" s="35"/>
      <c r="C16" s="290">
        <v>1.6</v>
      </c>
      <c r="D16" s="35"/>
      <c r="E16" s="50" t="b">
        <v>0</v>
      </c>
      <c r="F16" s="35"/>
    </row>
    <row r="17">
      <c r="A17" s="35" t="s">
        <v>453</v>
      </c>
      <c r="B17" s="35"/>
      <c r="C17" s="290">
        <v>8.0</v>
      </c>
      <c r="D17" s="35"/>
      <c r="E17" s="50" t="b">
        <v>0</v>
      </c>
      <c r="F17" s="35"/>
    </row>
    <row r="18">
      <c r="A18" s="35" t="s">
        <v>46</v>
      </c>
      <c r="B18" s="35"/>
      <c r="C18" s="290">
        <v>52.0</v>
      </c>
      <c r="D18" s="35"/>
      <c r="E18" s="50" t="b">
        <v>0</v>
      </c>
      <c r="F18" s="35"/>
    </row>
    <row r="19">
      <c r="A19" s="35" t="s">
        <v>630</v>
      </c>
      <c r="B19" s="35"/>
      <c r="C19" s="290">
        <v>16.0</v>
      </c>
      <c r="D19" s="35"/>
      <c r="E19" s="50" t="b">
        <v>0</v>
      </c>
      <c r="F19" s="35"/>
    </row>
    <row r="20">
      <c r="A20" s="35" t="s">
        <v>631</v>
      </c>
      <c r="B20" s="35"/>
      <c r="C20" s="290">
        <v>1.6</v>
      </c>
      <c r="D20" s="35"/>
      <c r="E20" s="50" t="b">
        <v>0</v>
      </c>
      <c r="F20" s="35"/>
    </row>
    <row r="21">
      <c r="A21" s="35"/>
      <c r="B21" s="35"/>
      <c r="C21" s="35"/>
      <c r="D21" s="35"/>
      <c r="E21" s="35"/>
      <c r="F21" s="35"/>
    </row>
    <row r="22">
      <c r="A22" s="2"/>
      <c r="B22" s="2"/>
      <c r="C22" s="2"/>
      <c r="D22" s="2"/>
      <c r="E22" s="2"/>
      <c r="F22" s="2"/>
    </row>
    <row r="23">
      <c r="A23" s="488" t="s">
        <v>543</v>
      </c>
    </row>
    <row r="24">
      <c r="A24" s="228" t="s">
        <v>622</v>
      </c>
      <c r="B24" s="58"/>
      <c r="C24" s="58"/>
      <c r="D24" s="58"/>
      <c r="E24" s="58"/>
      <c r="F24" s="58"/>
    </row>
    <row r="25">
      <c r="A25" s="228" t="s">
        <v>544</v>
      </c>
      <c r="B25" s="58"/>
      <c r="C25" s="58"/>
      <c r="D25" s="58"/>
      <c r="E25" s="58"/>
      <c r="F25" s="58"/>
    </row>
    <row r="26">
      <c r="A26" s="373" t="s">
        <v>623</v>
      </c>
    </row>
    <row r="28">
      <c r="A28" s="2"/>
      <c r="B28" s="2"/>
      <c r="C28" s="2"/>
      <c r="D28" s="2"/>
      <c r="E28" s="2"/>
      <c r="F28" s="2"/>
    </row>
    <row r="29">
      <c r="A29" s="59" t="s">
        <v>29</v>
      </c>
      <c r="B29" s="60"/>
      <c r="C29" s="60"/>
      <c r="D29" s="60"/>
      <c r="E29" s="60"/>
      <c r="F29" s="60"/>
    </row>
    <row r="30">
      <c r="A30" s="59" t="s">
        <v>30</v>
      </c>
      <c r="B30" s="60"/>
      <c r="C30" s="60"/>
      <c r="D30" s="60"/>
      <c r="E30" s="60"/>
      <c r="F30" s="60"/>
    </row>
    <row r="31">
      <c r="A31" s="2"/>
      <c r="B31" s="2"/>
      <c r="C31" s="2"/>
      <c r="D31" s="2"/>
      <c r="E31" s="2"/>
      <c r="F31" s="2"/>
    </row>
  </sheetData>
  <mergeCells count="19">
    <mergeCell ref="A1:F1"/>
    <mergeCell ref="B3:C3"/>
    <mergeCell ref="A4:A6"/>
    <mergeCell ref="B4:C6"/>
    <mergeCell ref="D4:D6"/>
    <mergeCell ref="E4:E6"/>
    <mergeCell ref="F4:F6"/>
    <mergeCell ref="D10:D11"/>
    <mergeCell ref="E10:E11"/>
    <mergeCell ref="B10:C11"/>
    <mergeCell ref="A23:F23"/>
    <mergeCell ref="A26:F27"/>
    <mergeCell ref="A7:A9"/>
    <mergeCell ref="B7:C9"/>
    <mergeCell ref="D7:D9"/>
    <mergeCell ref="E7:E9"/>
    <mergeCell ref="F7:F9"/>
    <mergeCell ref="A10:A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632</v>
      </c>
    </row>
    <row r="2">
      <c r="A2" s="489" t="s">
        <v>625</v>
      </c>
      <c r="B2" s="490"/>
      <c r="C2" s="490"/>
      <c r="D2" s="490"/>
      <c r="E2" s="490"/>
      <c r="F2" s="240"/>
    </row>
    <row r="3">
      <c r="A3" s="484" t="s">
        <v>7</v>
      </c>
      <c r="B3" s="362" t="s">
        <v>614</v>
      </c>
      <c r="C3" s="14"/>
      <c r="D3" s="491"/>
      <c r="E3" s="492"/>
      <c r="F3" s="244"/>
    </row>
    <row r="4">
      <c r="A4" s="16"/>
      <c r="C4" s="14"/>
      <c r="D4" s="366"/>
      <c r="F4" s="14"/>
    </row>
    <row r="5">
      <c r="A5" s="20"/>
      <c r="B5" s="9"/>
      <c r="C5" s="21"/>
      <c r="D5" s="367"/>
      <c r="E5" s="9"/>
      <c r="F5" s="21"/>
    </row>
    <row r="6">
      <c r="A6" s="364" t="s">
        <v>9</v>
      </c>
      <c r="B6" s="365" t="s">
        <v>10</v>
      </c>
      <c r="C6" s="244"/>
      <c r="D6" s="504"/>
      <c r="F6" s="14"/>
    </row>
    <row r="7">
      <c r="A7" s="25"/>
      <c r="B7" s="366"/>
      <c r="C7" s="14"/>
      <c r="F7" s="14"/>
    </row>
    <row r="8">
      <c r="A8" s="27"/>
      <c r="B8" s="367"/>
      <c r="C8" s="21"/>
      <c r="D8" s="9"/>
      <c r="E8" s="9"/>
      <c r="F8" s="21"/>
    </row>
    <row r="9">
      <c r="A9" s="486" t="s">
        <v>11</v>
      </c>
      <c r="B9" s="494" t="s">
        <v>547</v>
      </c>
      <c r="C9" s="244"/>
      <c r="D9" s="505"/>
      <c r="F9" s="14"/>
    </row>
    <row r="10">
      <c r="A10" s="33"/>
      <c r="B10" s="367"/>
      <c r="C10" s="21"/>
      <c r="D10" s="9"/>
      <c r="E10" s="9"/>
      <c r="F10" s="21"/>
    </row>
    <row r="11">
      <c r="A11" s="2"/>
      <c r="B11" s="2"/>
      <c r="C11" s="2"/>
      <c r="D11" s="2"/>
      <c r="E11" s="2"/>
      <c r="F11" s="2"/>
    </row>
    <row r="12">
      <c r="A12" s="225" t="s">
        <v>616</v>
      </c>
      <c r="B12" s="35"/>
      <c r="C12" s="35"/>
      <c r="D12" s="35"/>
      <c r="E12" s="35"/>
      <c r="F12" s="35"/>
      <c r="G12" s="209"/>
      <c r="H12" s="209"/>
      <c r="I12" s="209"/>
      <c r="J12" s="209"/>
      <c r="K12" s="209"/>
      <c r="L12" s="209"/>
    </row>
    <row r="13">
      <c r="A13" s="45" t="s">
        <v>15</v>
      </c>
      <c r="B13" s="118"/>
      <c r="C13" s="46" t="s">
        <v>16</v>
      </c>
      <c r="D13" s="35"/>
      <c r="E13" s="497" t="s">
        <v>450</v>
      </c>
      <c r="F13" s="35"/>
      <c r="G13" s="209"/>
      <c r="H13" s="209"/>
      <c r="I13" s="209"/>
      <c r="J13" s="209"/>
      <c r="K13" s="209"/>
      <c r="L13" s="209"/>
    </row>
    <row r="14">
      <c r="A14" s="35" t="s">
        <v>505</v>
      </c>
      <c r="B14" s="35"/>
      <c r="C14" s="521">
        <v>1.0</v>
      </c>
      <c r="D14" s="35"/>
      <c r="E14" s="50" t="b">
        <v>0</v>
      </c>
      <c r="F14" s="35"/>
      <c r="G14" s="209"/>
      <c r="H14" s="522"/>
      <c r="I14" s="209"/>
      <c r="J14" s="209"/>
      <c r="K14" s="209"/>
      <c r="L14" s="209"/>
    </row>
    <row r="15">
      <c r="A15" s="35" t="s">
        <v>506</v>
      </c>
      <c r="B15" s="35"/>
      <c r="C15" s="521">
        <v>1.0</v>
      </c>
      <c r="D15" s="35"/>
      <c r="E15" s="50" t="b">
        <v>0</v>
      </c>
      <c r="F15" s="35"/>
      <c r="G15" s="209"/>
      <c r="H15" s="522"/>
      <c r="I15" s="209"/>
      <c r="J15" s="209"/>
      <c r="K15" s="209"/>
      <c r="L15" s="209"/>
    </row>
    <row r="16">
      <c r="A16" s="35" t="s">
        <v>453</v>
      </c>
      <c r="B16" s="35"/>
      <c r="C16" s="521">
        <v>5.0</v>
      </c>
      <c r="D16" s="35"/>
      <c r="E16" s="50" t="b">
        <v>0</v>
      </c>
      <c r="F16" s="35"/>
      <c r="G16" s="209"/>
      <c r="H16" s="522"/>
      <c r="I16" s="209"/>
      <c r="J16" s="209"/>
      <c r="K16" s="209"/>
      <c r="L16" s="209"/>
    </row>
    <row r="17">
      <c r="A17" s="35" t="s">
        <v>46</v>
      </c>
      <c r="B17" s="35"/>
      <c r="C17" s="521">
        <v>32.0</v>
      </c>
      <c r="D17" s="35"/>
      <c r="E17" s="50" t="b">
        <v>0</v>
      </c>
      <c r="F17" s="35"/>
      <c r="G17" s="209"/>
      <c r="H17" s="522"/>
      <c r="I17" s="209"/>
      <c r="J17" s="209"/>
      <c r="K17" s="209"/>
      <c r="L17" s="209"/>
    </row>
    <row r="18">
      <c r="A18" s="35" t="s">
        <v>630</v>
      </c>
      <c r="B18" s="35"/>
      <c r="C18" s="521">
        <v>10.0</v>
      </c>
      <c r="D18" s="35"/>
      <c r="E18" s="50" t="b">
        <v>0</v>
      </c>
      <c r="F18" s="35"/>
      <c r="G18" s="209"/>
      <c r="H18" s="522"/>
      <c r="I18" s="209"/>
      <c r="J18" s="209"/>
      <c r="K18" s="209"/>
      <c r="L18" s="209"/>
    </row>
    <row r="19">
      <c r="A19" s="35" t="s">
        <v>631</v>
      </c>
      <c r="B19" s="35"/>
      <c r="C19" s="521">
        <v>1.0</v>
      </c>
      <c r="D19" s="35"/>
      <c r="E19" s="50" t="b">
        <v>0</v>
      </c>
      <c r="F19" s="35"/>
      <c r="G19" s="209"/>
      <c r="H19" s="522"/>
      <c r="I19" s="209"/>
      <c r="J19" s="209"/>
      <c r="K19" s="209"/>
      <c r="L19" s="209"/>
    </row>
    <row r="20">
      <c r="A20" s="35"/>
      <c r="B20" s="35"/>
      <c r="C20" s="35"/>
      <c r="D20" s="35"/>
      <c r="E20" s="35"/>
      <c r="F20" s="35"/>
      <c r="G20" s="209"/>
      <c r="H20" s="209"/>
      <c r="I20" s="209"/>
      <c r="J20" s="209"/>
      <c r="K20" s="209"/>
      <c r="L20" s="209"/>
    </row>
    <row r="21">
      <c r="A21" s="2"/>
      <c r="B21" s="2"/>
      <c r="C21" s="2"/>
      <c r="D21" s="2"/>
      <c r="E21" s="2"/>
      <c r="F21" s="2"/>
      <c r="G21" s="209"/>
      <c r="H21" s="209"/>
      <c r="I21" s="209"/>
      <c r="J21" s="209"/>
      <c r="K21" s="209"/>
      <c r="L21" s="209"/>
    </row>
    <row r="22">
      <c r="A22" s="488" t="s">
        <v>543</v>
      </c>
      <c r="G22" s="209"/>
      <c r="H22" s="209"/>
      <c r="I22" s="209"/>
      <c r="J22" s="209"/>
      <c r="K22" s="209"/>
      <c r="L22" s="209"/>
    </row>
    <row r="23">
      <c r="A23" s="228" t="s">
        <v>622</v>
      </c>
      <c r="B23" s="58"/>
      <c r="C23" s="58"/>
      <c r="D23" s="58"/>
      <c r="E23" s="58"/>
      <c r="F23" s="58"/>
    </row>
    <row r="24">
      <c r="A24" s="228" t="s">
        <v>544</v>
      </c>
      <c r="B24" s="58"/>
      <c r="C24" s="58"/>
      <c r="D24" s="58"/>
      <c r="E24" s="58"/>
      <c r="F24" s="58"/>
    </row>
    <row r="25">
      <c r="A25" s="373" t="s">
        <v>623</v>
      </c>
    </row>
    <row r="27">
      <c r="A27" s="2"/>
      <c r="B27" s="2"/>
      <c r="C27" s="2"/>
      <c r="D27" s="2"/>
      <c r="E27" s="2"/>
      <c r="F27" s="2"/>
    </row>
    <row r="28">
      <c r="A28" s="501" t="s">
        <v>550</v>
      </c>
      <c r="B28" s="60"/>
      <c r="C28" s="60"/>
      <c r="D28" s="60"/>
      <c r="E28" s="60"/>
      <c r="F28" s="60"/>
    </row>
    <row r="29">
      <c r="A29" s="501" t="s">
        <v>551</v>
      </c>
    </row>
    <row r="30">
      <c r="A30" s="2"/>
      <c r="B30" s="2"/>
      <c r="C30" s="2"/>
      <c r="D30" s="2"/>
      <c r="E30" s="2"/>
      <c r="F30" s="2"/>
    </row>
  </sheetData>
  <mergeCells count="14">
    <mergeCell ref="A6:A8"/>
    <mergeCell ref="A9:A10"/>
    <mergeCell ref="B9:C10"/>
    <mergeCell ref="D9:F10"/>
    <mergeCell ref="A22:F22"/>
    <mergeCell ref="A25:F26"/>
    <mergeCell ref="A29:F29"/>
    <mergeCell ref="A1:F1"/>
    <mergeCell ref="A2:F2"/>
    <mergeCell ref="A3:A5"/>
    <mergeCell ref="B3:C5"/>
    <mergeCell ref="D3:F5"/>
    <mergeCell ref="B6:C8"/>
    <mergeCell ref="D6:F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633</v>
      </c>
    </row>
    <row r="2">
      <c r="A2" s="3"/>
      <c r="B2" s="4"/>
      <c r="C2" s="4"/>
      <c r="D2" s="6"/>
      <c r="E2" s="6"/>
      <c r="F2" s="6"/>
    </row>
    <row r="3">
      <c r="A3" s="7" t="s">
        <v>2</v>
      </c>
      <c r="B3" s="8" t="s">
        <v>3</v>
      </c>
      <c r="C3" s="9"/>
      <c r="D3" s="10" t="s">
        <v>4</v>
      </c>
      <c r="E3" s="10" t="s">
        <v>5</v>
      </c>
      <c r="F3" s="11" t="s">
        <v>6</v>
      </c>
    </row>
    <row r="4">
      <c r="A4" s="484" t="s">
        <v>7</v>
      </c>
      <c r="B4" s="362" t="s">
        <v>614</v>
      </c>
      <c r="C4" s="14"/>
      <c r="D4" s="15"/>
      <c r="E4" s="15"/>
      <c r="F4" s="15"/>
    </row>
    <row r="5">
      <c r="A5" s="16"/>
      <c r="C5" s="14"/>
      <c r="D5" s="17"/>
      <c r="E5" s="15"/>
      <c r="F5" s="18"/>
    </row>
    <row r="6">
      <c r="A6" s="20"/>
      <c r="B6" s="9"/>
      <c r="C6" s="21"/>
      <c r="D6" s="18"/>
      <c r="E6" s="18"/>
      <c r="F6" s="18"/>
    </row>
    <row r="7">
      <c r="A7" s="22" t="s">
        <v>615</v>
      </c>
      <c r="B7" s="365" t="s">
        <v>10</v>
      </c>
      <c r="C7" s="244"/>
      <c r="D7" s="24"/>
      <c r="E7" s="24"/>
      <c r="F7" s="24"/>
    </row>
    <row r="8">
      <c r="A8" s="25"/>
      <c r="B8" s="366"/>
      <c r="C8" s="14"/>
      <c r="D8" s="14"/>
      <c r="E8" s="14"/>
      <c r="F8" s="14"/>
    </row>
    <row r="9">
      <c r="A9" s="27"/>
      <c r="B9" s="367"/>
      <c r="C9" s="21"/>
      <c r="D9" s="21"/>
      <c r="E9" s="21"/>
      <c r="F9" s="21"/>
    </row>
    <row r="10">
      <c r="A10" s="486" t="s">
        <v>11</v>
      </c>
      <c r="B10" s="215" t="s">
        <v>12</v>
      </c>
      <c r="C10" s="14"/>
      <c r="D10" s="32"/>
      <c r="E10" s="32"/>
      <c r="F10" s="32"/>
    </row>
    <row r="11">
      <c r="A11" s="3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225" t="s">
        <v>616</v>
      </c>
      <c r="B13" s="35"/>
      <c r="C13" s="35"/>
      <c r="D13" s="35"/>
      <c r="E13" s="35"/>
      <c r="F13" s="35"/>
    </row>
    <row r="14">
      <c r="A14" s="45" t="s">
        <v>15</v>
      </c>
      <c r="B14" s="118"/>
      <c r="C14" s="127"/>
      <c r="D14" s="46" t="s">
        <v>16</v>
      </c>
      <c r="E14" s="35"/>
      <c r="F14" s="35"/>
    </row>
    <row r="15">
      <c r="A15" s="523" t="s">
        <v>634</v>
      </c>
      <c r="B15" s="35"/>
      <c r="C15" s="127"/>
      <c r="D15" s="290">
        <v>72.0</v>
      </c>
      <c r="E15" s="50" t="b">
        <v>0</v>
      </c>
      <c r="F15" s="35"/>
    </row>
    <row r="16">
      <c r="A16" s="35" t="s">
        <v>138</v>
      </c>
      <c r="B16" s="35"/>
      <c r="C16" s="127"/>
      <c r="D16" s="290">
        <v>8.0</v>
      </c>
      <c r="E16" s="50" t="b">
        <v>0</v>
      </c>
      <c r="F16" s="35"/>
    </row>
    <row r="17">
      <c r="A17" s="35"/>
      <c r="B17" s="35"/>
      <c r="C17" s="79"/>
      <c r="D17" s="35"/>
      <c r="E17" s="35"/>
      <c r="F17" s="35"/>
    </row>
    <row r="18">
      <c r="A18" s="19"/>
      <c r="B18" s="19"/>
      <c r="C18" s="19"/>
      <c r="D18" s="19"/>
      <c r="E18" s="19"/>
      <c r="F18" s="19"/>
    </row>
    <row r="19">
      <c r="A19" s="2"/>
      <c r="B19" s="2"/>
      <c r="C19" s="2"/>
      <c r="D19" s="2"/>
      <c r="E19" s="2"/>
      <c r="F19" s="2"/>
    </row>
    <row r="20">
      <c r="A20" s="488" t="s">
        <v>543</v>
      </c>
    </row>
    <row r="21">
      <c r="A21" s="228" t="s">
        <v>622</v>
      </c>
      <c r="B21" s="58"/>
      <c r="C21" s="58"/>
      <c r="D21" s="58"/>
      <c r="E21" s="58"/>
      <c r="F21" s="58"/>
    </row>
    <row r="22">
      <c r="A22" s="228" t="s">
        <v>544</v>
      </c>
      <c r="B22" s="58"/>
      <c r="C22" s="58"/>
      <c r="D22" s="58"/>
      <c r="E22" s="58"/>
      <c r="F22" s="58"/>
    </row>
    <row r="23">
      <c r="A23" s="373" t="s">
        <v>623</v>
      </c>
    </row>
    <row r="25">
      <c r="A25" s="2"/>
      <c r="B25" s="2"/>
      <c r="C25" s="2"/>
      <c r="D25" s="2"/>
      <c r="E25" s="2"/>
      <c r="F25" s="2"/>
    </row>
    <row r="26">
      <c r="A26" s="59" t="s">
        <v>29</v>
      </c>
      <c r="B26" s="60"/>
      <c r="C26" s="60"/>
      <c r="D26" s="60"/>
      <c r="E26" s="60"/>
      <c r="F26" s="60"/>
    </row>
    <row r="27">
      <c r="A27" s="59" t="s">
        <v>30</v>
      </c>
      <c r="B27" s="60"/>
      <c r="C27" s="60"/>
      <c r="D27" s="60"/>
      <c r="E27" s="60"/>
      <c r="F27" s="60"/>
    </row>
    <row r="28">
      <c r="A28" s="2"/>
      <c r="B28" s="2"/>
      <c r="C28" s="2"/>
      <c r="D28" s="2"/>
      <c r="E28" s="2"/>
      <c r="F28" s="2"/>
    </row>
  </sheetData>
  <mergeCells count="19">
    <mergeCell ref="A1:F1"/>
    <mergeCell ref="B3:C3"/>
    <mergeCell ref="A4:A6"/>
    <mergeCell ref="B4:C6"/>
    <mergeCell ref="F4:F6"/>
    <mergeCell ref="D5:D6"/>
    <mergeCell ref="E5:E6"/>
    <mergeCell ref="D10:D11"/>
    <mergeCell ref="E10:E11"/>
    <mergeCell ref="B10:C11"/>
    <mergeCell ref="A20:F20"/>
    <mergeCell ref="A23:F24"/>
    <mergeCell ref="A7:A9"/>
    <mergeCell ref="B7:C9"/>
    <mergeCell ref="D7:D9"/>
    <mergeCell ref="E7:E9"/>
    <mergeCell ref="F7:F9"/>
    <mergeCell ref="A10:A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635</v>
      </c>
    </row>
    <row r="2">
      <c r="A2" s="489" t="s">
        <v>625</v>
      </c>
      <c r="B2" s="490"/>
      <c r="C2" s="490"/>
      <c r="D2" s="490"/>
      <c r="E2" s="490"/>
      <c r="F2" s="240"/>
    </row>
    <row r="3">
      <c r="A3" s="484" t="s">
        <v>7</v>
      </c>
      <c r="B3" s="362" t="s">
        <v>614</v>
      </c>
      <c r="C3" s="14"/>
      <c r="D3" s="491"/>
      <c r="E3" s="492"/>
      <c r="F3" s="244"/>
    </row>
    <row r="4">
      <c r="A4" s="16"/>
      <c r="C4" s="14"/>
      <c r="D4" s="366"/>
      <c r="F4" s="14"/>
    </row>
    <row r="5">
      <c r="A5" s="20"/>
      <c r="B5" s="9"/>
      <c r="C5" s="21"/>
      <c r="D5" s="367"/>
      <c r="E5" s="9"/>
      <c r="F5" s="21"/>
    </row>
    <row r="6">
      <c r="A6" s="364" t="s">
        <v>9</v>
      </c>
      <c r="B6" s="365" t="s">
        <v>10</v>
      </c>
      <c r="C6" s="244"/>
      <c r="D6" s="504"/>
      <c r="F6" s="14"/>
    </row>
    <row r="7">
      <c r="A7" s="25"/>
      <c r="B7" s="366"/>
      <c r="C7" s="14"/>
      <c r="F7" s="14"/>
    </row>
    <row r="8">
      <c r="A8" s="27"/>
      <c r="B8" s="367"/>
      <c r="C8" s="21"/>
      <c r="D8" s="9"/>
      <c r="E8" s="9"/>
      <c r="F8" s="21"/>
    </row>
    <row r="9">
      <c r="A9" s="486" t="s">
        <v>11</v>
      </c>
      <c r="B9" s="494" t="s">
        <v>547</v>
      </c>
      <c r="C9" s="244"/>
      <c r="D9" s="505"/>
      <c r="F9" s="14"/>
    </row>
    <row r="10">
      <c r="A10" s="33"/>
      <c r="B10" s="367"/>
      <c r="C10" s="21"/>
      <c r="D10" s="9"/>
      <c r="E10" s="9"/>
      <c r="F10" s="21"/>
    </row>
    <row r="11">
      <c r="A11" s="2"/>
      <c r="B11" s="2"/>
      <c r="C11" s="2"/>
      <c r="D11" s="2"/>
      <c r="E11" s="2"/>
      <c r="F11" s="2"/>
    </row>
    <row r="12">
      <c r="A12" s="48" t="s">
        <v>636</v>
      </c>
      <c r="B12" s="35"/>
      <c r="C12" s="35"/>
      <c r="D12" s="35"/>
      <c r="E12" s="35"/>
      <c r="F12" s="35"/>
    </row>
    <row r="13">
      <c r="A13" s="45" t="s">
        <v>15</v>
      </c>
      <c r="B13" s="118"/>
      <c r="C13" s="46" t="s">
        <v>16</v>
      </c>
      <c r="D13" s="35"/>
      <c r="E13" s="497" t="s">
        <v>450</v>
      </c>
      <c r="F13" s="35"/>
    </row>
    <row r="14">
      <c r="A14" s="48" t="s">
        <v>637</v>
      </c>
      <c r="B14" s="35"/>
      <c r="C14" s="521">
        <v>25.0</v>
      </c>
      <c r="D14" s="35"/>
      <c r="E14" s="50" t="b">
        <v>0</v>
      </c>
      <c r="F14" s="35"/>
    </row>
    <row r="15">
      <c r="A15" s="78" t="s">
        <v>254</v>
      </c>
      <c r="B15" s="35"/>
      <c r="C15" s="521">
        <v>25.0</v>
      </c>
      <c r="D15" s="35"/>
      <c r="E15" s="50" t="b">
        <v>0</v>
      </c>
      <c r="F15" s="35"/>
    </row>
    <row r="16">
      <c r="A16" s="35"/>
      <c r="B16" s="35"/>
      <c r="C16" s="79"/>
      <c r="D16" s="35"/>
      <c r="E16" s="35"/>
      <c r="F16" s="35"/>
    </row>
    <row r="17">
      <c r="A17" s="19"/>
      <c r="B17" s="19"/>
      <c r="C17" s="19"/>
      <c r="D17" s="19"/>
      <c r="E17" s="19"/>
      <c r="F17" s="19"/>
    </row>
    <row r="18">
      <c r="A18" s="2"/>
      <c r="B18" s="2"/>
      <c r="C18" s="2"/>
      <c r="D18" s="2"/>
      <c r="E18" s="2"/>
      <c r="F18" s="2"/>
    </row>
    <row r="19">
      <c r="A19" s="488" t="s">
        <v>543</v>
      </c>
    </row>
    <row r="20">
      <c r="A20" s="228" t="s">
        <v>622</v>
      </c>
      <c r="B20" s="58"/>
      <c r="C20" s="58"/>
      <c r="D20" s="58"/>
      <c r="E20" s="58"/>
      <c r="F20" s="58"/>
    </row>
    <row r="21">
      <c r="A21" s="228" t="s">
        <v>544</v>
      </c>
      <c r="B21" s="58"/>
      <c r="C21" s="58"/>
      <c r="D21" s="58"/>
      <c r="E21" s="58"/>
      <c r="F21" s="58"/>
    </row>
    <row r="22">
      <c r="A22" s="373" t="s">
        <v>623</v>
      </c>
    </row>
    <row r="24">
      <c r="A24" s="2"/>
      <c r="B24" s="2"/>
      <c r="C24" s="2"/>
      <c r="D24" s="2"/>
      <c r="E24" s="2"/>
      <c r="F24" s="2"/>
    </row>
    <row r="25">
      <c r="A25" s="501" t="s">
        <v>550</v>
      </c>
      <c r="B25" s="60"/>
      <c r="C25" s="60"/>
      <c r="D25" s="60"/>
      <c r="E25" s="60"/>
      <c r="F25" s="60"/>
    </row>
    <row r="26">
      <c r="A26" s="501" t="s">
        <v>551</v>
      </c>
    </row>
    <row r="27">
      <c r="A27" s="2"/>
      <c r="B27" s="2"/>
      <c r="C27" s="2"/>
      <c r="D27" s="2"/>
      <c r="E27" s="2"/>
      <c r="F27" s="2"/>
    </row>
  </sheetData>
  <mergeCells count="14">
    <mergeCell ref="A6:A8"/>
    <mergeCell ref="A9:A10"/>
    <mergeCell ref="B9:C10"/>
    <mergeCell ref="D9:F10"/>
    <mergeCell ref="A19:F19"/>
    <mergeCell ref="A22:F23"/>
    <mergeCell ref="A26:F26"/>
    <mergeCell ref="A1:F1"/>
    <mergeCell ref="A2:F2"/>
    <mergeCell ref="A3:A5"/>
    <mergeCell ref="B3:C5"/>
    <mergeCell ref="D3:F5"/>
    <mergeCell ref="B6:C8"/>
    <mergeCell ref="D6:F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" t="s">
        <v>638</v>
      </c>
    </row>
    <row r="2">
      <c r="A2" s="3"/>
      <c r="B2" s="4"/>
      <c r="C2" s="524" t="s">
        <v>639</v>
      </c>
      <c r="D2" s="6"/>
      <c r="E2" s="6"/>
      <c r="F2" s="6"/>
    </row>
    <row r="3">
      <c r="A3" s="238" t="s">
        <v>2</v>
      </c>
      <c r="B3" s="239" t="s">
        <v>3</v>
      </c>
      <c r="C3" s="240"/>
      <c r="D3" s="241" t="s">
        <v>4</v>
      </c>
      <c r="E3" s="241" t="s">
        <v>5</v>
      </c>
      <c r="F3" s="241" t="s">
        <v>6</v>
      </c>
    </row>
    <row r="4">
      <c r="A4" s="484" t="s">
        <v>7</v>
      </c>
      <c r="B4" s="362" t="s">
        <v>614</v>
      </c>
      <c r="C4" s="14"/>
      <c r="D4" s="363"/>
      <c r="E4" s="363"/>
      <c r="F4" s="363"/>
    </row>
    <row r="5">
      <c r="A5" s="16"/>
      <c r="C5" s="14"/>
      <c r="D5" s="25"/>
      <c r="E5" s="25"/>
      <c r="F5" s="25"/>
    </row>
    <row r="6">
      <c r="A6" s="20"/>
      <c r="B6" s="9"/>
      <c r="C6" s="21"/>
      <c r="D6" s="27"/>
      <c r="E6" s="27"/>
      <c r="F6" s="27"/>
    </row>
    <row r="7">
      <c r="A7" s="22" t="s">
        <v>615</v>
      </c>
      <c r="B7" s="365" t="s">
        <v>10</v>
      </c>
      <c r="C7" s="244"/>
      <c r="D7" s="24"/>
      <c r="E7" s="24"/>
      <c r="F7" s="24"/>
    </row>
    <row r="8">
      <c r="A8" s="25"/>
      <c r="B8" s="366"/>
      <c r="C8" s="14"/>
      <c r="D8" s="14"/>
      <c r="E8" s="14"/>
      <c r="F8" s="14"/>
    </row>
    <row r="9">
      <c r="A9" s="27"/>
      <c r="B9" s="367"/>
      <c r="C9" s="21"/>
      <c r="D9" s="21"/>
      <c r="E9" s="21"/>
      <c r="F9" s="21"/>
    </row>
    <row r="10">
      <c r="A10" s="486" t="s">
        <v>11</v>
      </c>
      <c r="B10" s="215" t="s">
        <v>12</v>
      </c>
      <c r="C10" s="14"/>
      <c r="D10" s="32"/>
      <c r="E10" s="32"/>
      <c r="F10" s="32"/>
    </row>
    <row r="11">
      <c r="A11" s="3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225" t="s">
        <v>616</v>
      </c>
      <c r="B13" s="35"/>
      <c r="C13" s="35"/>
      <c r="D13" s="35"/>
      <c r="E13" s="35"/>
      <c r="F13" s="35"/>
    </row>
    <row r="14">
      <c r="A14" s="45" t="s">
        <v>15</v>
      </c>
      <c r="B14" s="118"/>
      <c r="C14" s="46" t="s">
        <v>16</v>
      </c>
      <c r="D14" s="35"/>
      <c r="E14" s="35"/>
      <c r="F14" s="35"/>
    </row>
    <row r="15">
      <c r="A15" s="225" t="s">
        <v>619</v>
      </c>
      <c r="B15" s="35"/>
      <c r="C15" s="290">
        <v>1.6</v>
      </c>
      <c r="D15" s="35"/>
      <c r="E15" s="50" t="b">
        <v>0</v>
      </c>
      <c r="F15" s="35"/>
    </row>
    <row r="16">
      <c r="A16" s="35" t="s">
        <v>640</v>
      </c>
      <c r="B16" s="35"/>
      <c r="C16" s="290">
        <v>24.0</v>
      </c>
      <c r="D16" s="35"/>
      <c r="E16" s="50" t="b">
        <v>0</v>
      </c>
      <c r="F16" s="35"/>
    </row>
    <row r="17">
      <c r="A17" s="225" t="s">
        <v>641</v>
      </c>
      <c r="B17" s="35"/>
      <c r="C17" s="290">
        <v>0.4</v>
      </c>
      <c r="D17" s="35"/>
      <c r="E17" s="50" t="b">
        <v>0</v>
      </c>
      <c r="F17" s="35"/>
    </row>
    <row r="18">
      <c r="A18" s="225" t="s">
        <v>642</v>
      </c>
      <c r="B18" s="35"/>
      <c r="C18" s="290">
        <v>2.0</v>
      </c>
      <c r="D18" s="35"/>
      <c r="E18" s="50" t="b">
        <v>0</v>
      </c>
      <c r="F18" s="35"/>
    </row>
    <row r="19">
      <c r="A19" s="35" t="s">
        <v>643</v>
      </c>
      <c r="B19" s="35"/>
      <c r="C19" s="290">
        <v>48.0</v>
      </c>
      <c r="D19" s="35"/>
      <c r="E19" s="50" t="b">
        <v>0</v>
      </c>
      <c r="F19" s="35"/>
    </row>
    <row r="20">
      <c r="A20" s="35" t="s">
        <v>217</v>
      </c>
      <c r="B20" s="35"/>
      <c r="C20" s="290">
        <v>4.0</v>
      </c>
      <c r="D20" s="35"/>
      <c r="E20" s="50" t="b">
        <v>0</v>
      </c>
      <c r="F20" s="35"/>
    </row>
    <row r="21">
      <c r="A21" s="35"/>
      <c r="B21" s="35"/>
      <c r="C21" s="35"/>
      <c r="D21" s="35"/>
      <c r="E21" s="35"/>
      <c r="F21" s="35"/>
    </row>
    <row r="22">
      <c r="A22" s="2"/>
      <c r="B22" s="2"/>
      <c r="C22" s="2"/>
      <c r="D22" s="2"/>
      <c r="E22" s="2"/>
      <c r="F22" s="2"/>
    </row>
    <row r="23">
      <c r="A23" s="488" t="s">
        <v>543</v>
      </c>
    </row>
    <row r="24">
      <c r="A24" s="228" t="s">
        <v>622</v>
      </c>
      <c r="B24" s="58"/>
      <c r="C24" s="58"/>
      <c r="D24" s="58"/>
      <c r="E24" s="58"/>
      <c r="F24" s="58"/>
    </row>
    <row r="25">
      <c r="A25" s="228" t="s">
        <v>544</v>
      </c>
      <c r="B25" s="58"/>
      <c r="C25" s="58"/>
      <c r="D25" s="58"/>
      <c r="E25" s="58"/>
      <c r="F25" s="58"/>
    </row>
    <row r="26">
      <c r="A26" s="373" t="s">
        <v>623</v>
      </c>
    </row>
    <row r="28">
      <c r="A28" s="2"/>
      <c r="B28" s="2"/>
      <c r="C28" s="2"/>
      <c r="D28" s="2"/>
      <c r="E28" s="2"/>
      <c r="F28" s="2"/>
    </row>
    <row r="29">
      <c r="A29" s="59" t="s">
        <v>29</v>
      </c>
      <c r="B29" s="60"/>
      <c r="C29" s="60"/>
      <c r="D29" s="60"/>
      <c r="E29" s="60"/>
      <c r="F29" s="60"/>
    </row>
    <row r="30">
      <c r="A30" s="59" t="s">
        <v>30</v>
      </c>
      <c r="B30" s="60"/>
      <c r="C30" s="60"/>
      <c r="D30" s="60"/>
      <c r="E30" s="60"/>
      <c r="F30" s="60"/>
    </row>
  </sheetData>
  <mergeCells count="19">
    <mergeCell ref="A1:F1"/>
    <mergeCell ref="B3:C3"/>
    <mergeCell ref="A4:A6"/>
    <mergeCell ref="B4:C6"/>
    <mergeCell ref="D4:D6"/>
    <mergeCell ref="E4:E6"/>
    <mergeCell ref="F4:F6"/>
    <mergeCell ref="D10:D11"/>
    <mergeCell ref="E10:E11"/>
    <mergeCell ref="B10:C11"/>
    <mergeCell ref="A23:F23"/>
    <mergeCell ref="A26:F27"/>
    <mergeCell ref="A7:A9"/>
    <mergeCell ref="B7:C9"/>
    <mergeCell ref="D7:D9"/>
    <mergeCell ref="E7:E9"/>
    <mergeCell ref="F7:F9"/>
    <mergeCell ref="A10:A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" t="s">
        <v>644</v>
      </c>
    </row>
    <row r="2">
      <c r="A2" s="489" t="s">
        <v>625</v>
      </c>
      <c r="B2" s="490"/>
      <c r="C2" s="490"/>
      <c r="D2" s="490"/>
      <c r="E2" s="490"/>
      <c r="F2" s="240"/>
    </row>
    <row r="3">
      <c r="A3" s="484" t="s">
        <v>7</v>
      </c>
      <c r="B3" s="362" t="s">
        <v>614</v>
      </c>
      <c r="C3" s="14"/>
      <c r="D3" s="491"/>
      <c r="E3" s="492"/>
      <c r="F3" s="244"/>
    </row>
    <row r="4">
      <c r="A4" s="16"/>
      <c r="C4" s="14"/>
      <c r="D4" s="366"/>
      <c r="F4" s="14"/>
    </row>
    <row r="5">
      <c r="A5" s="20"/>
      <c r="B5" s="9"/>
      <c r="C5" s="21"/>
      <c r="D5" s="367"/>
      <c r="E5" s="9"/>
      <c r="F5" s="21"/>
    </row>
    <row r="6">
      <c r="A6" s="22" t="s">
        <v>615</v>
      </c>
      <c r="B6" s="365" t="s">
        <v>10</v>
      </c>
      <c r="C6" s="244"/>
      <c r="D6" s="504"/>
      <c r="F6" s="14"/>
    </row>
    <row r="7">
      <c r="A7" s="25"/>
      <c r="B7" s="366"/>
      <c r="C7" s="14"/>
      <c r="F7" s="14"/>
    </row>
    <row r="8">
      <c r="A8" s="27"/>
      <c r="B8" s="367"/>
      <c r="C8" s="21"/>
      <c r="D8" s="9"/>
      <c r="E8" s="9"/>
      <c r="F8" s="21"/>
    </row>
    <row r="9">
      <c r="A9" s="486" t="s">
        <v>11</v>
      </c>
      <c r="B9" s="494" t="s">
        <v>547</v>
      </c>
      <c r="C9" s="244"/>
      <c r="D9" s="505"/>
      <c r="F9" s="14"/>
    </row>
    <row r="10">
      <c r="A10" s="33"/>
      <c r="B10" s="367"/>
      <c r="C10" s="21"/>
      <c r="D10" s="9"/>
      <c r="E10" s="9"/>
      <c r="F10" s="21"/>
    </row>
    <row r="11">
      <c r="A11" s="2"/>
      <c r="B11" s="2"/>
      <c r="C11" s="2"/>
      <c r="D11" s="2"/>
      <c r="E11" s="2"/>
      <c r="F11" s="2"/>
    </row>
    <row r="12">
      <c r="A12" s="225" t="s">
        <v>616</v>
      </c>
      <c r="B12" s="35"/>
      <c r="C12" s="35"/>
      <c r="D12" s="35"/>
      <c r="E12" s="35"/>
      <c r="F12" s="35"/>
    </row>
    <row r="13">
      <c r="A13" s="45" t="s">
        <v>15</v>
      </c>
      <c r="B13" s="118"/>
      <c r="C13" s="46" t="s">
        <v>16</v>
      </c>
      <c r="D13" s="35"/>
      <c r="E13" s="35"/>
      <c r="F13" s="35"/>
    </row>
    <row r="14">
      <c r="A14" s="225" t="s">
        <v>619</v>
      </c>
      <c r="B14" s="35"/>
      <c r="C14" s="290">
        <v>1.0</v>
      </c>
      <c r="D14" s="35"/>
      <c r="E14" s="50" t="b">
        <v>0</v>
      </c>
      <c r="F14" s="35"/>
    </row>
    <row r="15">
      <c r="A15" s="35" t="s">
        <v>640</v>
      </c>
      <c r="B15" s="35"/>
      <c r="C15" s="290">
        <v>15.0</v>
      </c>
      <c r="D15" s="35"/>
      <c r="E15" s="50" t="b">
        <v>0</v>
      </c>
      <c r="F15" s="35"/>
    </row>
    <row r="16">
      <c r="A16" s="225" t="s">
        <v>642</v>
      </c>
      <c r="B16" s="35"/>
      <c r="C16" s="290">
        <v>1.25</v>
      </c>
      <c r="D16" s="35"/>
      <c r="E16" s="50" t="b">
        <v>0</v>
      </c>
      <c r="F16" s="35"/>
    </row>
    <row r="17">
      <c r="A17" s="35" t="s">
        <v>217</v>
      </c>
      <c r="B17" s="35"/>
      <c r="C17" s="290">
        <v>2.5</v>
      </c>
      <c r="D17" s="35"/>
      <c r="E17" s="50" t="b">
        <v>0</v>
      </c>
      <c r="F17" s="35"/>
    </row>
    <row r="18">
      <c r="A18" s="225" t="s">
        <v>641</v>
      </c>
      <c r="B18" s="35"/>
      <c r="C18" s="290">
        <v>0.25</v>
      </c>
      <c r="D18" s="35"/>
      <c r="E18" s="50" t="b">
        <v>0</v>
      </c>
      <c r="F18" s="35"/>
    </row>
    <row r="19">
      <c r="A19" s="35" t="s">
        <v>643</v>
      </c>
      <c r="B19" s="35"/>
      <c r="C19" s="290">
        <v>30.0</v>
      </c>
      <c r="D19" s="35"/>
      <c r="E19" s="50" t="b">
        <v>0</v>
      </c>
      <c r="F19" s="35"/>
    </row>
    <row r="20">
      <c r="A20" s="35"/>
      <c r="B20" s="35"/>
      <c r="C20" s="35"/>
      <c r="D20" s="35"/>
      <c r="E20" s="35"/>
      <c r="F20" s="35"/>
    </row>
    <row r="21">
      <c r="A21" s="2"/>
      <c r="B21" s="2"/>
      <c r="C21" s="2"/>
      <c r="D21" s="2"/>
      <c r="E21" s="2"/>
      <c r="F21" s="2"/>
    </row>
    <row r="22">
      <c r="A22" s="488" t="s">
        <v>543</v>
      </c>
    </row>
    <row r="23">
      <c r="A23" s="228" t="s">
        <v>622</v>
      </c>
      <c r="B23" s="58"/>
      <c r="C23" s="58"/>
      <c r="D23" s="58"/>
      <c r="E23" s="58"/>
      <c r="F23" s="58"/>
    </row>
    <row r="24">
      <c r="A24" s="228" t="s">
        <v>544</v>
      </c>
      <c r="B24" s="58"/>
      <c r="C24" s="58"/>
      <c r="D24" s="58"/>
      <c r="E24" s="58"/>
      <c r="F24" s="58"/>
    </row>
    <row r="25">
      <c r="A25" s="373" t="s">
        <v>623</v>
      </c>
    </row>
    <row r="27">
      <c r="A27" s="2"/>
      <c r="B27" s="2"/>
      <c r="C27" s="2"/>
      <c r="D27" s="2"/>
      <c r="E27" s="2"/>
      <c r="F27" s="2"/>
    </row>
    <row r="28">
      <c r="A28" s="501" t="s">
        <v>550</v>
      </c>
      <c r="B28" s="60"/>
      <c r="C28" s="60"/>
      <c r="D28" s="60"/>
      <c r="E28" s="60"/>
      <c r="F28" s="60"/>
    </row>
    <row r="29">
      <c r="A29" s="501" t="s">
        <v>551</v>
      </c>
    </row>
  </sheetData>
  <mergeCells count="14">
    <mergeCell ref="A6:A8"/>
    <mergeCell ref="A9:A10"/>
    <mergeCell ref="B9:C10"/>
    <mergeCell ref="D9:F10"/>
    <mergeCell ref="A22:F22"/>
    <mergeCell ref="A25:F26"/>
    <mergeCell ref="A29:F29"/>
    <mergeCell ref="A1:F1"/>
    <mergeCell ref="A2:F2"/>
    <mergeCell ref="A3:A5"/>
    <mergeCell ref="B3:C5"/>
    <mergeCell ref="D3:F5"/>
    <mergeCell ref="B6:C8"/>
    <mergeCell ref="D6:F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645</v>
      </c>
    </row>
    <row r="2">
      <c r="A2" s="3"/>
      <c r="B2" s="4"/>
      <c r="C2" s="524" t="s">
        <v>646</v>
      </c>
      <c r="D2" s="6"/>
      <c r="E2" s="6"/>
      <c r="F2" s="6"/>
    </row>
    <row r="3">
      <c r="A3" s="7" t="s">
        <v>2</v>
      </c>
      <c r="B3" s="8" t="s">
        <v>3</v>
      </c>
      <c r="C3" s="9"/>
      <c r="D3" s="10" t="s">
        <v>4</v>
      </c>
      <c r="E3" s="10" t="s">
        <v>5</v>
      </c>
      <c r="F3" s="11" t="s">
        <v>6</v>
      </c>
    </row>
    <row r="4">
      <c r="A4" s="12" t="s">
        <v>7</v>
      </c>
      <c r="B4" s="362" t="s">
        <v>8</v>
      </c>
      <c r="C4" s="14"/>
      <c r="D4" s="15"/>
      <c r="E4" s="15"/>
      <c r="F4" s="15"/>
    </row>
    <row r="5">
      <c r="A5" s="16"/>
      <c r="C5" s="14"/>
      <c r="D5" s="17"/>
      <c r="E5" s="15"/>
      <c r="F5" s="18"/>
    </row>
    <row r="6">
      <c r="A6" s="20"/>
      <c r="B6" s="9"/>
      <c r="C6" s="21"/>
      <c r="D6" s="18"/>
      <c r="E6" s="18"/>
      <c r="F6" s="18"/>
    </row>
    <row r="7">
      <c r="A7" s="22" t="s">
        <v>9</v>
      </c>
      <c r="B7" s="365" t="s">
        <v>10</v>
      </c>
      <c r="C7" s="244"/>
      <c r="D7" s="24"/>
      <c r="E7" s="24"/>
      <c r="F7" s="24"/>
    </row>
    <row r="8">
      <c r="A8" s="25"/>
      <c r="B8" s="366"/>
      <c r="C8" s="14"/>
      <c r="D8" s="14"/>
      <c r="E8" s="14"/>
      <c r="F8" s="14"/>
    </row>
    <row r="9">
      <c r="A9" s="27"/>
      <c r="B9" s="367"/>
      <c r="C9" s="21"/>
      <c r="D9" s="21"/>
      <c r="E9" s="21"/>
      <c r="F9" s="21"/>
    </row>
    <row r="10">
      <c r="A10" s="30" t="s">
        <v>11</v>
      </c>
      <c r="B10" s="31" t="s">
        <v>12</v>
      </c>
      <c r="C10" s="14"/>
      <c r="D10" s="32"/>
      <c r="E10" s="32"/>
      <c r="F10" s="32"/>
    </row>
    <row r="11">
      <c r="A11" s="3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225" t="s">
        <v>616</v>
      </c>
      <c r="B13" s="35"/>
      <c r="C13" s="35"/>
      <c r="D13" s="35"/>
      <c r="E13" s="35"/>
      <c r="F13" s="35"/>
    </row>
    <row r="14">
      <c r="A14" s="45" t="s">
        <v>15</v>
      </c>
      <c r="B14" s="118"/>
      <c r="C14" s="118"/>
      <c r="D14" s="46" t="s">
        <v>16</v>
      </c>
      <c r="E14" s="35"/>
      <c r="F14" s="35"/>
    </row>
    <row r="15">
      <c r="A15" s="225" t="s">
        <v>647</v>
      </c>
      <c r="B15" s="35"/>
      <c r="C15" s="35"/>
      <c r="D15" s="78">
        <v>30.0</v>
      </c>
      <c r="E15" s="50" t="b">
        <v>0</v>
      </c>
      <c r="F15" s="35"/>
    </row>
    <row r="16">
      <c r="A16" s="225" t="s">
        <v>648</v>
      </c>
      <c r="B16" s="35"/>
      <c r="C16" s="35"/>
      <c r="D16" s="78">
        <v>30.0</v>
      </c>
      <c r="E16" s="50" t="b">
        <v>0</v>
      </c>
      <c r="F16" s="35"/>
    </row>
    <row r="17">
      <c r="A17" s="35"/>
      <c r="B17" s="35"/>
      <c r="C17" s="35"/>
      <c r="D17" s="35"/>
      <c r="E17" s="35"/>
      <c r="F17" s="35"/>
    </row>
    <row r="18">
      <c r="A18" s="2"/>
      <c r="B18" s="2"/>
      <c r="C18" s="2"/>
      <c r="D18" s="2"/>
      <c r="E18" s="2"/>
      <c r="F18" s="2"/>
    </row>
    <row r="19">
      <c r="A19" s="488" t="s">
        <v>543</v>
      </c>
    </row>
    <row r="20">
      <c r="A20" s="228" t="s">
        <v>622</v>
      </c>
      <c r="B20" s="58"/>
      <c r="C20" s="58"/>
      <c r="D20" s="58"/>
      <c r="E20" s="58"/>
      <c r="F20" s="58"/>
    </row>
    <row r="21">
      <c r="A21" s="228" t="s">
        <v>544</v>
      </c>
      <c r="B21" s="58"/>
      <c r="C21" s="58"/>
      <c r="D21" s="58"/>
      <c r="E21" s="58"/>
      <c r="F21" s="58"/>
    </row>
    <row r="22">
      <c r="A22" s="373" t="s">
        <v>623</v>
      </c>
    </row>
    <row r="24">
      <c r="A24" s="2"/>
      <c r="B24" s="2"/>
      <c r="C24" s="2"/>
      <c r="D24" s="2"/>
      <c r="E24" s="2"/>
      <c r="F24" s="2"/>
    </row>
    <row r="25">
      <c r="A25" s="59" t="s">
        <v>29</v>
      </c>
      <c r="B25" s="60"/>
      <c r="C25" s="60"/>
      <c r="D25" s="60"/>
      <c r="E25" s="60"/>
      <c r="F25" s="60"/>
    </row>
    <row r="26">
      <c r="A26" s="59" t="s">
        <v>30</v>
      </c>
      <c r="B26" s="60"/>
      <c r="C26" s="60"/>
      <c r="D26" s="60"/>
      <c r="E26" s="60"/>
      <c r="F26" s="60"/>
    </row>
    <row r="27">
      <c r="A27" s="2"/>
      <c r="B27" s="2"/>
      <c r="C27" s="2"/>
      <c r="D27" s="2"/>
      <c r="E27" s="2"/>
      <c r="F27" s="2"/>
    </row>
  </sheetData>
  <mergeCells count="19">
    <mergeCell ref="A1:F1"/>
    <mergeCell ref="B3:C3"/>
    <mergeCell ref="A4:A6"/>
    <mergeCell ref="B4:C6"/>
    <mergeCell ref="F4:F6"/>
    <mergeCell ref="D5:D6"/>
    <mergeCell ref="E5:E6"/>
    <mergeCell ref="D10:D11"/>
    <mergeCell ref="E10:E11"/>
    <mergeCell ref="B10:C11"/>
    <mergeCell ref="A19:F19"/>
    <mergeCell ref="A22:F23"/>
    <mergeCell ref="A7:A9"/>
    <mergeCell ref="B7:C9"/>
    <mergeCell ref="D7:D9"/>
    <mergeCell ref="E7:E9"/>
    <mergeCell ref="F7:F9"/>
    <mergeCell ref="A10:A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649</v>
      </c>
    </row>
    <row r="2">
      <c r="A2" s="489" t="s">
        <v>625</v>
      </c>
      <c r="B2" s="490"/>
      <c r="C2" s="490"/>
      <c r="D2" s="490"/>
      <c r="E2" s="490"/>
      <c r="F2" s="240"/>
    </row>
    <row r="3">
      <c r="A3" s="484" t="s">
        <v>7</v>
      </c>
      <c r="B3" s="362" t="s">
        <v>8</v>
      </c>
      <c r="C3" s="14"/>
      <c r="D3" s="503"/>
      <c r="F3" s="18"/>
    </row>
    <row r="4">
      <c r="A4" s="16"/>
      <c r="C4" s="14"/>
      <c r="F4" s="18"/>
    </row>
    <row r="5">
      <c r="A5" s="20"/>
      <c r="B5" s="9"/>
      <c r="C5" s="21"/>
      <c r="F5" s="18"/>
    </row>
    <row r="6">
      <c r="A6" s="22" t="s">
        <v>9</v>
      </c>
      <c r="B6" s="365" t="s">
        <v>10</v>
      </c>
      <c r="C6" s="244"/>
      <c r="D6" s="504"/>
      <c r="F6" s="14"/>
    </row>
    <row r="7">
      <c r="A7" s="25"/>
      <c r="B7" s="366"/>
      <c r="C7" s="14"/>
      <c r="F7" s="14"/>
    </row>
    <row r="8">
      <c r="A8" s="27"/>
      <c r="B8" s="367"/>
      <c r="C8" s="21"/>
      <c r="D8" s="9"/>
      <c r="E8" s="9"/>
      <c r="F8" s="21"/>
    </row>
    <row r="9">
      <c r="A9" s="486" t="s">
        <v>11</v>
      </c>
      <c r="B9" s="494" t="s">
        <v>547</v>
      </c>
      <c r="C9" s="244"/>
      <c r="D9" s="505"/>
      <c r="F9" s="14"/>
    </row>
    <row r="10">
      <c r="A10" s="33"/>
      <c r="B10" s="367"/>
      <c r="C10" s="21"/>
      <c r="D10" s="9"/>
      <c r="E10" s="9"/>
      <c r="F10" s="21"/>
    </row>
    <row r="11">
      <c r="A11" s="2"/>
      <c r="B11" s="2"/>
      <c r="C11" s="2"/>
      <c r="D11" s="2"/>
      <c r="E11" s="2"/>
      <c r="F11" s="2"/>
    </row>
    <row r="12">
      <c r="A12" s="225" t="s">
        <v>616</v>
      </c>
      <c r="B12" s="35"/>
      <c r="C12" s="35"/>
      <c r="D12" s="35"/>
      <c r="E12" s="35"/>
      <c r="F12" s="35"/>
    </row>
    <row r="13">
      <c r="A13" s="45" t="s">
        <v>15</v>
      </c>
      <c r="B13" s="118"/>
      <c r="C13" s="118"/>
      <c r="D13" s="46" t="s">
        <v>16</v>
      </c>
      <c r="E13" s="497" t="s">
        <v>450</v>
      </c>
      <c r="F13" s="35"/>
    </row>
    <row r="14">
      <c r="A14" s="225" t="s">
        <v>647</v>
      </c>
      <c r="B14" s="35"/>
      <c r="C14" s="35"/>
      <c r="D14" s="78">
        <v>25.0</v>
      </c>
      <c r="E14" s="50" t="b">
        <v>0</v>
      </c>
      <c r="F14" s="35"/>
    </row>
    <row r="15">
      <c r="A15" s="225" t="s">
        <v>648</v>
      </c>
      <c r="B15" s="35"/>
      <c r="C15" s="35"/>
      <c r="D15" s="78">
        <v>25.0</v>
      </c>
      <c r="E15" s="50" t="b">
        <v>0</v>
      </c>
      <c r="F15" s="35"/>
    </row>
    <row r="16">
      <c r="A16" s="35"/>
      <c r="B16" s="35"/>
      <c r="C16" s="35"/>
      <c r="D16" s="35"/>
      <c r="E16" s="35"/>
      <c r="F16" s="35"/>
    </row>
    <row r="17">
      <c r="A17" s="2"/>
      <c r="B17" s="2"/>
      <c r="C17" s="2"/>
      <c r="D17" s="2"/>
      <c r="E17" s="2"/>
      <c r="F17" s="2"/>
    </row>
    <row r="18">
      <c r="A18" s="488" t="s">
        <v>543</v>
      </c>
    </row>
    <row r="19">
      <c r="A19" s="228" t="s">
        <v>622</v>
      </c>
      <c r="B19" s="58"/>
      <c r="C19" s="58"/>
      <c r="D19" s="58"/>
      <c r="E19" s="58"/>
      <c r="F19" s="58"/>
    </row>
    <row r="20">
      <c r="A20" s="228" t="s">
        <v>544</v>
      </c>
      <c r="B20" s="58"/>
      <c r="C20" s="58"/>
      <c r="D20" s="58"/>
      <c r="E20" s="58"/>
      <c r="F20" s="58"/>
    </row>
    <row r="21">
      <c r="A21" s="373" t="s">
        <v>623</v>
      </c>
    </row>
    <row r="23">
      <c r="A23" s="2"/>
      <c r="B23" s="2"/>
      <c r="C23" s="2"/>
      <c r="D23" s="2"/>
      <c r="E23" s="2"/>
      <c r="F23" s="2"/>
    </row>
    <row r="24">
      <c r="A24" s="501" t="s">
        <v>550</v>
      </c>
      <c r="B24" s="60"/>
      <c r="C24" s="60"/>
      <c r="D24" s="60"/>
      <c r="E24" s="60"/>
      <c r="F24" s="60"/>
    </row>
    <row r="25">
      <c r="A25" s="501" t="s">
        <v>551</v>
      </c>
    </row>
    <row r="26">
      <c r="A26" s="2"/>
      <c r="B26" s="2"/>
      <c r="C26" s="2"/>
      <c r="D26" s="2"/>
      <c r="E26" s="2"/>
      <c r="F26" s="2"/>
    </row>
  </sheetData>
  <mergeCells count="14">
    <mergeCell ref="A6:A8"/>
    <mergeCell ref="A9:A10"/>
    <mergeCell ref="B9:C10"/>
    <mergeCell ref="D9:F10"/>
    <mergeCell ref="A18:F18"/>
    <mergeCell ref="A21:F22"/>
    <mergeCell ref="A25:F25"/>
    <mergeCell ref="A1:F1"/>
    <mergeCell ref="A2:F2"/>
    <mergeCell ref="A3:A5"/>
    <mergeCell ref="B3:C5"/>
    <mergeCell ref="D3:F5"/>
    <mergeCell ref="B6:C8"/>
    <mergeCell ref="D6:F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650</v>
      </c>
    </row>
    <row r="2">
      <c r="A2" s="3"/>
      <c r="B2" s="4"/>
      <c r="C2" s="524" t="s">
        <v>651</v>
      </c>
      <c r="D2" s="6"/>
      <c r="E2" s="6"/>
      <c r="F2" s="6"/>
    </row>
    <row r="3">
      <c r="A3" s="7" t="s">
        <v>2</v>
      </c>
      <c r="B3" s="8" t="s">
        <v>3</v>
      </c>
      <c r="C3" s="9"/>
      <c r="D3" s="10" t="s">
        <v>4</v>
      </c>
      <c r="E3" s="10" t="s">
        <v>5</v>
      </c>
      <c r="F3" s="11" t="s">
        <v>6</v>
      </c>
    </row>
    <row r="4">
      <c r="A4" s="484" t="s">
        <v>7</v>
      </c>
      <c r="B4" s="362" t="s">
        <v>8</v>
      </c>
      <c r="C4" s="14"/>
      <c r="D4" s="363"/>
      <c r="E4" s="363"/>
      <c r="F4" s="363"/>
    </row>
    <row r="5">
      <c r="A5" s="16"/>
      <c r="C5" s="14"/>
      <c r="D5" s="25"/>
      <c r="E5" s="25"/>
      <c r="F5" s="25"/>
    </row>
    <row r="6">
      <c r="A6" s="20"/>
      <c r="B6" s="9"/>
      <c r="C6" s="21"/>
      <c r="D6" s="27"/>
      <c r="E6" s="27"/>
      <c r="F6" s="27"/>
    </row>
    <row r="7">
      <c r="A7" s="22" t="s">
        <v>9</v>
      </c>
      <c r="B7" s="525" t="s">
        <v>10</v>
      </c>
      <c r="C7" s="244"/>
      <c r="D7" s="24"/>
      <c r="E7" s="24"/>
      <c r="F7" s="24"/>
    </row>
    <row r="8">
      <c r="A8" s="25"/>
      <c r="B8" s="366"/>
      <c r="C8" s="14"/>
      <c r="D8" s="14"/>
      <c r="E8" s="14"/>
      <c r="F8" s="14"/>
    </row>
    <row r="9">
      <c r="A9" s="27"/>
      <c r="B9" s="367"/>
      <c r="C9" s="21"/>
      <c r="D9" s="21"/>
      <c r="E9" s="21"/>
      <c r="F9" s="21"/>
    </row>
    <row r="10">
      <c r="A10" s="486" t="s">
        <v>11</v>
      </c>
      <c r="B10" s="215" t="s">
        <v>12</v>
      </c>
      <c r="C10" s="14"/>
      <c r="D10" s="32"/>
      <c r="E10" s="32"/>
      <c r="F10" s="32"/>
    </row>
    <row r="11">
      <c r="A11" s="33"/>
      <c r="B11" s="9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225" t="s">
        <v>616</v>
      </c>
      <c r="B13" s="35"/>
      <c r="C13" s="35"/>
      <c r="D13" s="35"/>
      <c r="E13" s="35"/>
      <c r="F13" s="35"/>
    </row>
    <row r="14">
      <c r="A14" s="45" t="s">
        <v>15</v>
      </c>
      <c r="B14" s="118"/>
      <c r="C14" s="118"/>
      <c r="D14" s="46" t="s">
        <v>16</v>
      </c>
      <c r="E14" s="35"/>
      <c r="F14" s="35"/>
    </row>
    <row r="15">
      <c r="A15" s="225" t="s">
        <v>506</v>
      </c>
      <c r="B15" s="35"/>
      <c r="C15" s="35"/>
      <c r="D15" s="78">
        <v>2.0</v>
      </c>
      <c r="E15" s="50" t="b">
        <v>0</v>
      </c>
      <c r="F15" s="35"/>
    </row>
    <row r="16">
      <c r="A16" s="225" t="s">
        <v>652</v>
      </c>
      <c r="B16" s="35"/>
      <c r="C16" s="35"/>
      <c r="D16" s="78">
        <v>4.0</v>
      </c>
      <c r="E16" s="50" t="b">
        <v>0</v>
      </c>
      <c r="F16" s="35"/>
    </row>
    <row r="17">
      <c r="A17" s="225" t="s">
        <v>653</v>
      </c>
      <c r="B17" s="35"/>
      <c r="C17" s="35"/>
      <c r="D17" s="78">
        <v>34.0</v>
      </c>
      <c r="E17" s="50" t="b">
        <v>0</v>
      </c>
      <c r="F17" s="35"/>
    </row>
    <row r="18">
      <c r="A18" s="35"/>
      <c r="B18" s="35"/>
      <c r="C18" s="35"/>
      <c r="D18" s="35"/>
      <c r="E18" s="35"/>
      <c r="F18" s="35"/>
    </row>
    <row r="19">
      <c r="A19" s="2"/>
      <c r="B19" s="2"/>
      <c r="C19" s="2"/>
      <c r="D19" s="2"/>
      <c r="E19" s="2"/>
      <c r="F19" s="2"/>
    </row>
    <row r="20">
      <c r="A20" s="488" t="s">
        <v>543</v>
      </c>
    </row>
    <row r="21">
      <c r="A21" s="228" t="s">
        <v>622</v>
      </c>
      <c r="B21" s="58"/>
      <c r="C21" s="58"/>
      <c r="D21" s="58"/>
      <c r="E21" s="58"/>
      <c r="F21" s="58"/>
    </row>
    <row r="22">
      <c r="A22" s="228" t="s">
        <v>544</v>
      </c>
      <c r="B22" s="58"/>
      <c r="C22" s="58"/>
      <c r="D22" s="58"/>
      <c r="E22" s="58"/>
      <c r="F22" s="58"/>
    </row>
    <row r="23">
      <c r="A23" s="373" t="s">
        <v>623</v>
      </c>
    </row>
    <row r="25">
      <c r="A25" s="2"/>
      <c r="B25" s="2"/>
      <c r="C25" s="2"/>
      <c r="D25" s="2"/>
      <c r="E25" s="2"/>
      <c r="F25" s="2"/>
    </row>
    <row r="26">
      <c r="A26" s="59" t="s">
        <v>29</v>
      </c>
      <c r="B26" s="60"/>
      <c r="C26" s="60"/>
      <c r="D26" s="60"/>
      <c r="E26" s="60"/>
      <c r="F26" s="60"/>
    </row>
    <row r="27">
      <c r="A27" s="59" t="s">
        <v>30</v>
      </c>
      <c r="B27" s="60"/>
      <c r="C27" s="60"/>
      <c r="D27" s="60"/>
      <c r="E27" s="60"/>
      <c r="F27" s="60"/>
    </row>
    <row r="28">
      <c r="A28" s="2"/>
      <c r="B28" s="2"/>
      <c r="C28" s="2"/>
      <c r="D28" s="2"/>
      <c r="E28" s="2"/>
      <c r="F28" s="2"/>
    </row>
  </sheetData>
  <mergeCells count="19">
    <mergeCell ref="A1:F1"/>
    <mergeCell ref="B3:C3"/>
    <mergeCell ref="A4:A6"/>
    <mergeCell ref="B4:C6"/>
    <mergeCell ref="D4:D6"/>
    <mergeCell ref="E4:E6"/>
    <mergeCell ref="F4:F6"/>
    <mergeCell ref="D10:D11"/>
    <mergeCell ref="E10:E11"/>
    <mergeCell ref="B10:C11"/>
    <mergeCell ref="A20:F20"/>
    <mergeCell ref="A23:F24"/>
    <mergeCell ref="A7:A9"/>
    <mergeCell ref="B7:C9"/>
    <mergeCell ref="D7:D9"/>
    <mergeCell ref="E7:E9"/>
    <mergeCell ref="F7:F9"/>
    <mergeCell ref="A10:A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654</v>
      </c>
    </row>
    <row r="2">
      <c r="A2" s="3"/>
      <c r="B2" s="4"/>
      <c r="C2" s="524" t="s">
        <v>655</v>
      </c>
      <c r="D2" s="6"/>
      <c r="E2" s="6"/>
      <c r="F2" s="6"/>
    </row>
    <row r="3">
      <c r="A3" s="7" t="s">
        <v>2</v>
      </c>
      <c r="B3" s="8" t="s">
        <v>3</v>
      </c>
      <c r="C3" s="9"/>
      <c r="D3" s="10" t="s">
        <v>4</v>
      </c>
      <c r="E3" s="10" t="s">
        <v>5</v>
      </c>
      <c r="F3" s="11" t="s">
        <v>6</v>
      </c>
    </row>
    <row r="4">
      <c r="A4" s="12" t="s">
        <v>7</v>
      </c>
      <c r="B4" s="526" t="s">
        <v>8</v>
      </c>
      <c r="C4" s="244"/>
      <c r="D4" s="363"/>
      <c r="E4" s="363"/>
      <c r="F4" s="363"/>
    </row>
    <row r="5">
      <c r="A5" s="16"/>
      <c r="B5" s="366"/>
      <c r="C5" s="14"/>
      <c r="D5" s="25"/>
      <c r="E5" s="25"/>
      <c r="F5" s="25"/>
    </row>
    <row r="6">
      <c r="A6" s="20"/>
      <c r="B6" s="367"/>
      <c r="C6" s="21"/>
      <c r="D6" s="27"/>
      <c r="E6" s="27"/>
      <c r="F6" s="27"/>
    </row>
    <row r="7">
      <c r="A7" s="68" t="s">
        <v>9</v>
      </c>
      <c r="B7" s="365" t="s">
        <v>10</v>
      </c>
      <c r="C7" s="244"/>
      <c r="D7" s="24"/>
      <c r="E7" s="24"/>
      <c r="F7" s="24"/>
    </row>
    <row r="8">
      <c r="A8" s="25"/>
      <c r="B8" s="366"/>
      <c r="C8" s="14"/>
      <c r="D8" s="14"/>
      <c r="E8" s="14"/>
      <c r="F8" s="14"/>
    </row>
    <row r="9">
      <c r="A9" s="27"/>
      <c r="B9" s="367"/>
      <c r="C9" s="21"/>
      <c r="D9" s="21"/>
      <c r="E9" s="21"/>
      <c r="F9" s="21"/>
    </row>
    <row r="10">
      <c r="A10" s="30" t="s">
        <v>11</v>
      </c>
      <c r="B10" s="516" t="s">
        <v>12</v>
      </c>
      <c r="C10" s="244"/>
      <c r="D10" s="32"/>
      <c r="E10" s="32"/>
      <c r="F10" s="32"/>
    </row>
    <row r="11">
      <c r="A11" s="33"/>
      <c r="B11" s="367"/>
      <c r="C11" s="21"/>
      <c r="D11" s="21"/>
      <c r="E11" s="21"/>
      <c r="F11" s="21"/>
    </row>
    <row r="12">
      <c r="A12" s="2"/>
      <c r="B12" s="2"/>
      <c r="C12" s="2"/>
      <c r="D12" s="2"/>
      <c r="E12" s="2"/>
      <c r="F12" s="2"/>
    </row>
    <row r="13">
      <c r="A13" s="225" t="s">
        <v>616</v>
      </c>
      <c r="B13" s="35"/>
      <c r="C13" s="35"/>
      <c r="D13" s="35"/>
      <c r="E13" s="35"/>
      <c r="F13" s="35"/>
    </row>
    <row r="14">
      <c r="A14" s="45" t="s">
        <v>15</v>
      </c>
      <c r="B14" s="118"/>
      <c r="C14" s="118"/>
      <c r="D14" s="46" t="s">
        <v>16</v>
      </c>
      <c r="E14" s="35"/>
      <c r="F14" s="35"/>
    </row>
    <row r="15">
      <c r="A15" s="225" t="s">
        <v>656</v>
      </c>
      <c r="B15" s="35"/>
      <c r="C15" s="35"/>
      <c r="D15" s="78">
        <v>54.0</v>
      </c>
      <c r="E15" s="50" t="b">
        <v>0</v>
      </c>
      <c r="F15" s="320"/>
    </row>
    <row r="16">
      <c r="A16" s="225" t="s">
        <v>657</v>
      </c>
      <c r="B16" s="35"/>
      <c r="C16" s="35"/>
      <c r="D16" s="78">
        <v>6.0</v>
      </c>
      <c r="E16" s="50" t="b">
        <v>0</v>
      </c>
      <c r="F16" s="320"/>
    </row>
    <row r="17">
      <c r="A17" s="225" t="s">
        <v>658</v>
      </c>
      <c r="B17" s="35"/>
      <c r="C17" s="35"/>
      <c r="D17" s="78">
        <v>48.0</v>
      </c>
      <c r="E17" s="50" t="b">
        <v>0</v>
      </c>
      <c r="F17" s="320"/>
    </row>
    <row r="18">
      <c r="A18" s="225" t="s">
        <v>659</v>
      </c>
      <c r="B18" s="35"/>
      <c r="C18" s="35"/>
      <c r="D18" s="78">
        <v>12.0</v>
      </c>
      <c r="E18" s="50" t="b">
        <v>0</v>
      </c>
      <c r="F18" s="320"/>
    </row>
    <row r="19">
      <c r="A19" s="35"/>
      <c r="B19" s="35"/>
      <c r="C19" s="35"/>
      <c r="D19" s="35"/>
      <c r="E19" s="35"/>
      <c r="F19" s="527"/>
    </row>
    <row r="20">
      <c r="A20" s="19"/>
      <c r="B20" s="19"/>
      <c r="C20" s="19"/>
      <c r="D20" s="2"/>
      <c r="E20" s="19"/>
      <c r="F20" s="19"/>
    </row>
    <row r="21">
      <c r="A21" s="488" t="s">
        <v>543</v>
      </c>
    </row>
    <row r="22">
      <c r="A22" s="228" t="s">
        <v>622</v>
      </c>
      <c r="B22" s="58"/>
      <c r="C22" s="58"/>
      <c r="D22" s="58"/>
      <c r="E22" s="58"/>
      <c r="F22" s="58"/>
    </row>
    <row r="23">
      <c r="A23" s="228" t="s">
        <v>544</v>
      </c>
      <c r="B23" s="58"/>
      <c r="C23" s="58"/>
      <c r="D23" s="58"/>
      <c r="E23" s="58"/>
      <c r="F23" s="58"/>
    </row>
    <row r="24">
      <c r="A24" s="373" t="s">
        <v>623</v>
      </c>
    </row>
    <row r="26">
      <c r="A26" s="2"/>
      <c r="B26" s="2"/>
      <c r="C26" s="2"/>
      <c r="D26" s="2"/>
      <c r="E26" s="2"/>
      <c r="F26" s="2"/>
    </row>
    <row r="27">
      <c r="A27" s="59" t="s">
        <v>29</v>
      </c>
      <c r="B27" s="60"/>
      <c r="C27" s="60"/>
      <c r="D27" s="60"/>
      <c r="E27" s="60"/>
      <c r="F27" s="60"/>
    </row>
    <row r="28">
      <c r="A28" s="59" t="s">
        <v>30</v>
      </c>
      <c r="B28" s="60"/>
      <c r="C28" s="60"/>
      <c r="D28" s="60"/>
      <c r="E28" s="60"/>
      <c r="F28" s="60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</sheetData>
  <mergeCells count="19">
    <mergeCell ref="A1:F1"/>
    <mergeCell ref="B3:C3"/>
    <mergeCell ref="A4:A6"/>
    <mergeCell ref="B4:C6"/>
    <mergeCell ref="D4:D6"/>
    <mergeCell ref="E4:E6"/>
    <mergeCell ref="F4:F6"/>
    <mergeCell ref="D10:D11"/>
    <mergeCell ref="E10:E11"/>
    <mergeCell ref="B10:C11"/>
    <mergeCell ref="A21:F21"/>
    <mergeCell ref="A24:F25"/>
    <mergeCell ref="A7:A9"/>
    <mergeCell ref="B7:C9"/>
    <mergeCell ref="D7:D9"/>
    <mergeCell ref="E7:E9"/>
    <mergeCell ref="F7:F9"/>
    <mergeCell ref="A10:A11"/>
    <mergeCell ref="F10:F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660</v>
      </c>
    </row>
    <row r="2">
      <c r="A2" s="489" t="s">
        <v>625</v>
      </c>
      <c r="B2" s="490"/>
      <c r="C2" s="490"/>
      <c r="D2" s="490"/>
      <c r="E2" s="490"/>
      <c r="F2" s="240"/>
    </row>
    <row r="3">
      <c r="A3" s="484" t="s">
        <v>7</v>
      </c>
      <c r="B3" s="526" t="s">
        <v>8</v>
      </c>
      <c r="C3" s="244"/>
      <c r="D3" s="363"/>
      <c r="E3" s="363"/>
      <c r="F3" s="363"/>
    </row>
    <row r="4">
      <c r="A4" s="16"/>
      <c r="B4" s="366"/>
      <c r="C4" s="14"/>
      <c r="D4" s="25"/>
      <c r="E4" s="25"/>
      <c r="F4" s="25"/>
    </row>
    <row r="5">
      <c r="A5" s="20"/>
      <c r="B5" s="367"/>
      <c r="C5" s="21"/>
      <c r="D5" s="27"/>
      <c r="E5" s="27"/>
      <c r="F5" s="27"/>
    </row>
    <row r="6">
      <c r="A6" s="22" t="s">
        <v>9</v>
      </c>
      <c r="B6" s="365" t="s">
        <v>10</v>
      </c>
      <c r="C6" s="244"/>
      <c r="D6" s="24"/>
      <c r="E6" s="24"/>
      <c r="F6" s="24"/>
    </row>
    <row r="7">
      <c r="A7" s="25"/>
      <c r="B7" s="366"/>
      <c r="C7" s="14"/>
      <c r="D7" s="14"/>
      <c r="E7" s="14"/>
      <c r="F7" s="14"/>
    </row>
    <row r="8">
      <c r="A8" s="27"/>
      <c r="B8" s="367"/>
      <c r="C8" s="21"/>
      <c r="D8" s="21"/>
      <c r="E8" s="21"/>
      <c r="F8" s="21"/>
    </row>
    <row r="9">
      <c r="A9" s="30" t="s">
        <v>11</v>
      </c>
      <c r="B9" s="494" t="s">
        <v>547</v>
      </c>
      <c r="C9" s="244"/>
      <c r="D9" s="32"/>
      <c r="E9" s="32"/>
      <c r="F9" s="32"/>
    </row>
    <row r="10">
      <c r="A10" s="33"/>
      <c r="B10" s="367"/>
      <c r="C10" s="21"/>
      <c r="D10" s="21"/>
      <c r="E10" s="21"/>
      <c r="F10" s="21"/>
    </row>
    <row r="11">
      <c r="A11" s="2"/>
      <c r="B11" s="2"/>
      <c r="C11" s="2"/>
      <c r="D11" s="2"/>
      <c r="E11" s="2"/>
      <c r="F11" s="2"/>
    </row>
    <row r="12">
      <c r="A12" s="225" t="s">
        <v>616</v>
      </c>
      <c r="B12" s="35"/>
      <c r="C12" s="35"/>
      <c r="D12" s="35"/>
      <c r="E12" s="35"/>
      <c r="F12" s="35"/>
    </row>
    <row r="13">
      <c r="A13" s="45" t="s">
        <v>15</v>
      </c>
      <c r="B13" s="118"/>
      <c r="C13" s="118"/>
      <c r="D13" s="46" t="s">
        <v>16</v>
      </c>
      <c r="E13" s="35"/>
      <c r="F13" s="35"/>
    </row>
    <row r="14">
      <c r="A14" s="225" t="s">
        <v>656</v>
      </c>
      <c r="B14" s="35"/>
      <c r="C14" s="35"/>
      <c r="D14" s="78">
        <v>22.5</v>
      </c>
      <c r="E14" s="50" t="b">
        <v>0</v>
      </c>
      <c r="F14" s="320"/>
    </row>
    <row r="15">
      <c r="A15" s="225" t="s">
        <v>657</v>
      </c>
      <c r="B15" s="35"/>
      <c r="C15" s="35"/>
      <c r="D15" s="78">
        <v>2.5</v>
      </c>
      <c r="E15" s="50" t="b">
        <v>0</v>
      </c>
      <c r="F15" s="320"/>
    </row>
    <row r="16">
      <c r="A16" s="225" t="s">
        <v>658</v>
      </c>
      <c r="B16" s="35"/>
      <c r="C16" s="35"/>
      <c r="D16" s="78">
        <v>20.0</v>
      </c>
      <c r="E16" s="50" t="b">
        <v>0</v>
      </c>
      <c r="F16" s="320"/>
    </row>
    <row r="17">
      <c r="A17" s="225" t="s">
        <v>659</v>
      </c>
      <c r="B17" s="35"/>
      <c r="C17" s="35"/>
      <c r="D17" s="78">
        <v>5.0</v>
      </c>
      <c r="E17" s="50" t="b">
        <v>0</v>
      </c>
      <c r="F17" s="320"/>
    </row>
    <row r="18">
      <c r="A18" s="35"/>
      <c r="B18" s="35"/>
      <c r="C18" s="35"/>
      <c r="D18" s="35"/>
      <c r="E18" s="35"/>
      <c r="F18" s="527"/>
    </row>
    <row r="19">
      <c r="A19" s="19"/>
      <c r="B19" s="19"/>
      <c r="C19" s="19"/>
      <c r="D19" s="2"/>
      <c r="E19" s="19"/>
      <c r="F19" s="19"/>
    </row>
    <row r="20">
      <c r="A20" s="488" t="s">
        <v>543</v>
      </c>
    </row>
    <row r="21">
      <c r="A21" s="228" t="s">
        <v>622</v>
      </c>
      <c r="B21" s="58"/>
      <c r="C21" s="58"/>
      <c r="D21" s="58"/>
      <c r="E21" s="58"/>
      <c r="F21" s="58"/>
    </row>
    <row r="22">
      <c r="A22" s="228" t="s">
        <v>544</v>
      </c>
      <c r="B22" s="58"/>
      <c r="C22" s="58"/>
      <c r="D22" s="58"/>
      <c r="E22" s="58"/>
      <c r="F22" s="58"/>
    </row>
    <row r="23">
      <c r="A23" s="373" t="s">
        <v>623</v>
      </c>
    </row>
    <row r="25">
      <c r="A25" s="2"/>
      <c r="B25" s="2"/>
      <c r="C25" s="2"/>
      <c r="D25" s="2"/>
      <c r="E25" s="2"/>
      <c r="F25" s="2"/>
    </row>
    <row r="26">
      <c r="A26" s="501" t="s">
        <v>550</v>
      </c>
      <c r="B26" s="60"/>
      <c r="C26" s="60"/>
      <c r="D26" s="60"/>
      <c r="E26" s="60"/>
      <c r="F26" s="60"/>
    </row>
    <row r="27">
      <c r="A27" s="501" t="s">
        <v>551</v>
      </c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</sheetData>
  <mergeCells count="20">
    <mergeCell ref="A1:F1"/>
    <mergeCell ref="A2:F2"/>
    <mergeCell ref="A3:A5"/>
    <mergeCell ref="B3:C5"/>
    <mergeCell ref="D3:D5"/>
    <mergeCell ref="E3:E5"/>
    <mergeCell ref="F3:F5"/>
    <mergeCell ref="D9:D10"/>
    <mergeCell ref="E9:E10"/>
    <mergeCell ref="B9:C10"/>
    <mergeCell ref="A20:F20"/>
    <mergeCell ref="A23:F24"/>
    <mergeCell ref="A27:F27"/>
    <mergeCell ref="A6:A8"/>
    <mergeCell ref="B6:C8"/>
    <mergeCell ref="D6:D8"/>
    <mergeCell ref="E6:E8"/>
    <mergeCell ref="F6:F8"/>
    <mergeCell ref="A9:A10"/>
    <mergeCell ref="F9:F1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